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ju\Downloads\"/>
    </mc:Choice>
  </mc:AlternateContent>
  <xr:revisionPtr revIDLastSave="0" documentId="13_ncr:1_{CC2C8708-3900-41F2-A5EE-BA67E39FBECE}" xr6:coauthVersionLast="47" xr6:coauthVersionMax="47" xr10:uidLastSave="{00000000-0000-0000-0000-000000000000}"/>
  <bookViews>
    <workbookView xWindow="-98" yWindow="-98" windowWidth="21795" windowHeight="12975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calcPr calcId="191029"/>
  <pivotCaches>
    <pivotCache cacheId="2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3" l="1"/>
  <c r="C12" i="3"/>
  <c r="E6" i="3"/>
  <c r="E5" i="3"/>
  <c r="E4" i="3"/>
</calcChain>
</file>

<file path=xl/sharedStrings.xml><?xml version="1.0" encoding="utf-8"?>
<sst xmlns="http://schemas.openxmlformats.org/spreadsheetml/2006/main" count="2033" uniqueCount="332">
  <si>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</si>
  <si>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</si>
  <si>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</si>
  <si>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</si>
  <si>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</si>
  <si>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</si>
  <si>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</si>
  <si>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</si>
  <si>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</si>
  <si>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</si>
  <si>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</si>
  <si>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</si>
  <si>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</si>
  <si>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</si>
  <si>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</si>
  <si>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</si>
  <si>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</si>
  <si>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</si>
  <si>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</si>
  <si>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</si>
  <si>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</si>
  <si>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</si>
  <si>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</si>
  <si>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</si>
  <si>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</si>
  <si>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</si>
  <si>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</si>
  <si>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</si>
  <si>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</si>
  <si>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</si>
  <si>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</si>
  <si>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</si>
  <si>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</si>
  <si>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</si>
  <si>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</si>
  <si>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</si>
  <si>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</si>
  <si>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</si>
  <si>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</si>
  <si>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</si>
  <si>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</si>
  <si>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</si>
  <si>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</si>
  <si>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</si>
  <si>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</si>
  <si>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</si>
  <si>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</si>
  <si>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</si>
  <si>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</si>
  <si>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</si>
  <si>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</si>
  <si>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</si>
  <si>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</si>
  <si>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</si>
  <si>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</si>
  <si>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</si>
  <si>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</si>
  <si>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</si>
  <si>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</si>
  <si>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</si>
  <si>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</si>
  <si>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</si>
  <si>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</si>
  <si>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</si>
  <si>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</si>
  <si>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</si>
  <si>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</si>
  <si>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</si>
  <si>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</si>
  <si>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</si>
  <si>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</si>
  <si>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</si>
  <si>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</si>
  <si>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</si>
  <si>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</si>
  <si>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</si>
  <si>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</si>
  <si>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</si>
  <si>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</si>
  <si>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</si>
  <si>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</si>
  <si>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</si>
  <si>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</si>
  <si>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</si>
  <si>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</si>
  <si>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</si>
  <si>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</si>
  <si>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</si>
  <si>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</si>
  <si>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</si>
  <si>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</si>
  <si>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</si>
  <si>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</si>
  <si>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</si>
  <si>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</si>
  <si>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</si>
  <si>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</si>
  <si>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</si>
  <si>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</si>
  <si>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</si>
  <si>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</si>
  <si>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</si>
  <si>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</si>
  <si>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</si>
  <si>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</si>
  <si>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</si>
  <si>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</si>
  <si>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</si>
  <si>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</si>
  <si>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</si>
  <si>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</si>
  <si>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</si>
  <si>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</si>
  <si>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</si>
  <si>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</si>
  <si>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</si>
  <si>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</si>
  <si>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</si>
  <si>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</si>
  <si>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</si>
  <si>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</si>
  <si>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</si>
  <si>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</si>
  <si>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</si>
  <si>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</si>
  <si>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</si>
  <si>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</si>
  <si>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</si>
  <si>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</si>
  <si>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</si>
  <si>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</si>
  <si>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</si>
  <si>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</si>
  <si>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</si>
  <si>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</si>
  <si>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</si>
  <si>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</si>
  <si>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</si>
  <si>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</si>
  <si>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</si>
  <si>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</si>
  <si>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</si>
  <si>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</si>
  <si>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</si>
  <si>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</si>
  <si>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</si>
  <si>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</si>
  <si>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</si>
  <si>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</si>
  <si>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</si>
  <si>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</si>
  <si>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</si>
  <si>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</si>
  <si>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</si>
  <si>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</si>
  <si>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</si>
  <si>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</si>
  <si>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</si>
  <si>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</si>
  <si>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</si>
  <si>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</si>
  <si>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</si>
  <si>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</si>
  <si>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</si>
  <si>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</si>
  <si>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</si>
  <si>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</si>
  <si>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</si>
  <si>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</si>
  <si>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</si>
  <si>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</si>
  <si>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</si>
  <si>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</si>
  <si>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</si>
  <si>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</si>
  <si>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</si>
  <si>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</si>
  <si>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</si>
  <si>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</si>
  <si>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</si>
  <si>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</si>
  <si>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</si>
  <si>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</si>
  <si>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</si>
  <si>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</si>
  <si>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</si>
  <si>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</si>
  <si>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</si>
  <si>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</si>
  <si>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</si>
  <si>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</si>
  <si>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</si>
  <si>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</si>
  <si>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</si>
  <si>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</si>
  <si>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</si>
  <si>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</si>
  <si>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</si>
  <si>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</si>
  <si>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</si>
  <si>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</si>
  <si>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</si>
  <si>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</si>
  <si>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</si>
  <si>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</si>
  <si>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</si>
  <si>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</si>
  <si>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</si>
  <si>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</si>
  <si>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</si>
  <si>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</si>
  <si>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</si>
  <si>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</si>
  <si>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</si>
  <si>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</si>
  <si>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</si>
  <si>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</si>
  <si>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</si>
  <si>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</si>
  <si>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</si>
  <si>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</si>
  <si>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</si>
  <si>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</si>
  <si>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</si>
  <si>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</si>
  <si>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</si>
  <si>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</si>
  <si>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</si>
  <si>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</si>
  <si>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</si>
  <si>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</si>
  <si>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</si>
  <si>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</si>
  <si>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</si>
  <si>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</si>
  <si>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</si>
  <si>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</si>
  <si>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</si>
  <si>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</si>
  <si>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</si>
  <si>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</si>
  <si>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</si>
  <si>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</si>
  <si>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</si>
  <si>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</si>
  <si>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</si>
  <si>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</si>
  <si>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</si>
  <si>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</si>
  <si>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</si>
  <si>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</si>
  <si>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</si>
  <si>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</si>
  <si>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</si>
  <si>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</si>
  <si>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</si>
  <si>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</si>
  <si>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</si>
  <si>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</si>
  <si>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</si>
  <si>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</si>
  <si>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</si>
  <si>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</si>
  <si>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</si>
  <si>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</si>
  <si>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</si>
  <si>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</si>
  <si>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</si>
  <si>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</si>
  <si>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</si>
  <si>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</si>
  <si>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</si>
  <si>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</si>
  <si>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</si>
  <si>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</si>
  <si>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</si>
  <si>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</si>
  <si>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</si>
  <si>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</si>
  <si>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</si>
  <si>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</si>
  <si>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</si>
  <si>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</si>
  <si>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</si>
  <si>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</si>
  <si>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</si>
  <si>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</si>
  <si>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</si>
  <si>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</si>
  <si>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</si>
  <si>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</si>
  <si>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</si>
  <si>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</si>
  <si>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</si>
  <si>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</si>
  <si>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</si>
  <si>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</si>
  <si>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</si>
  <si>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</si>
  <si>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</si>
  <si>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</si>
  <si>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</si>
  <si>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</si>
  <si>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</si>
  <si>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</si>
  <si>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</si>
  <si>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</si>
  <si>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</si>
  <si>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</si>
  <si>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</si>
  <si>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</si>
  <si>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</si>
  <si>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</si>
  <si>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</si>
  <si>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</si>
  <si>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</si>
  <si>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</si>
  <si>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</si>
  <si>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</si>
  <si>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</si>
  <si>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</si>
  <si>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</si>
  <si>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</si>
  <si>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</si>
  <si>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</si>
  <si>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</si>
  <si>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</si>
  <si>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Qtd total assinantes</t>
  </si>
  <si>
    <t>Contagem de Subscriber ID</t>
  </si>
  <si>
    <t>Soma de Minecraft Season Pass Price</t>
  </si>
  <si>
    <t>Coluna1</t>
  </si>
  <si>
    <t>Soma de EA Play Season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</si>
</sst>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0" applyNumberFormat="1"/>
    <xf numFmtId="0" fontId="0" fillId="8" borderId="0" xfId="0" applyFill="1"/>
    <xf numFmtId="0" fontId="3" fillId="8" borderId="0" xfId="0" applyFont="1" applyFill="1"/>
    <xf numFmtId="44" fontId="0" fillId="0" borderId="0" xfId="2" applyFont="1"/>
    <xf numFmtId="2" fontId="0" fillId="0" borderId="0" xfId="2" applyNumberFormat="1" applyFont="1" applyAlignment="1">
      <alignment horizontal="center" vertical="center" wrapText="1"/>
    </xf>
  </cellXfs>
  <cellStyles count="3">
    <cellStyle name="Moeda" xfId="2" builtinId="4"/>
    <cellStyle name="Normal" xfId="0" builtinId="0"/>
    <cellStyle name="Título 1" xfId="1" builtinId="16"/>
  </cellStyles>
  <dxfs count="15">
    <dxf>
      <numFmt numFmtId="2" formatCode="0.0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[805d54f9-6d53-4246-bed7-4aa2da615923.xlsx]C̳álculos!Tabela dinâmica8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C̳álculos!$G$11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C̳álculos!$F$12:$F$24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C̳álculos!$G$12:$G$24</c:f>
              <c:numCache>
                <c:formatCode>General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31</c:v>
                </c:pt>
                <c:pt idx="3">
                  <c:v>30</c:v>
                </c:pt>
                <c:pt idx="4">
                  <c:v>31</c:v>
                </c:pt>
                <c:pt idx="5">
                  <c:v>30</c:v>
                </c:pt>
                <c:pt idx="6">
                  <c:v>31</c:v>
                </c:pt>
                <c:pt idx="7">
                  <c:v>31</c:v>
                </c:pt>
                <c:pt idx="8">
                  <c:v>30</c:v>
                </c:pt>
                <c:pt idx="9">
                  <c:v>31</c:v>
                </c:pt>
                <c:pt idx="10">
                  <c:v>30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15-4AD6-B048-DBC84A796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4054879"/>
        <c:axId val="1204054399"/>
      </c:lineChart>
      <c:catAx>
        <c:axId val="1204054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4054399"/>
        <c:crosses val="autoZero"/>
        <c:auto val="1"/>
        <c:lblAlgn val="ctr"/>
        <c:lblOffset val="100"/>
        <c:noMultiLvlLbl val="0"/>
      </c:catAx>
      <c:valAx>
        <c:axId val="120405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4054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[805d54f9-6d53-4246-bed7-4aa2da615923.xlsx]C̳álculos!Tabela dinâmica5</c:name>
    <c:fmtId val="5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4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5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C̳álculos!$M$3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C̳álculos!$L$4:$L$7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C̳álculos!$M$4:$M$7</c:f>
              <c:numCache>
                <c:formatCode>General</c:formatCode>
                <c:ptCount val="3"/>
                <c:pt idx="0">
                  <c:v>71</c:v>
                </c:pt>
                <c:pt idx="1">
                  <c:v>139</c:v>
                </c:pt>
                <c:pt idx="2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3E-4AF9-A45A-1D70E844AE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0074863"/>
        <c:axId val="200076303"/>
      </c:barChart>
      <c:catAx>
        <c:axId val="200074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0076303"/>
        <c:crosses val="autoZero"/>
        <c:auto val="1"/>
        <c:lblAlgn val="ctr"/>
        <c:lblOffset val="100"/>
        <c:noMultiLvlLbl val="0"/>
      </c:catAx>
      <c:valAx>
        <c:axId val="20007630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0007486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[805d54f9-6d53-4246-bed7-4aa2da615923.xlsx]C̳álculos!Tabela dinâmica8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C̳álculos!$G$11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C̳álculos!$F$12:$F$24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C̳álculos!$G$12:$G$24</c:f>
              <c:numCache>
                <c:formatCode>General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31</c:v>
                </c:pt>
                <c:pt idx="3">
                  <c:v>30</c:v>
                </c:pt>
                <c:pt idx="4">
                  <c:v>31</c:v>
                </c:pt>
                <c:pt idx="5">
                  <c:v>30</c:v>
                </c:pt>
                <c:pt idx="6">
                  <c:v>31</c:v>
                </c:pt>
                <c:pt idx="7">
                  <c:v>31</c:v>
                </c:pt>
                <c:pt idx="8">
                  <c:v>30</c:v>
                </c:pt>
                <c:pt idx="9">
                  <c:v>31</c:v>
                </c:pt>
                <c:pt idx="10">
                  <c:v>30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84-45E1-BE16-0F65A8CC6EF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04054879"/>
        <c:axId val="1204054399"/>
      </c:lineChart>
      <c:catAx>
        <c:axId val="1204054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4054399"/>
        <c:crosses val="autoZero"/>
        <c:auto val="1"/>
        <c:lblAlgn val="ctr"/>
        <c:lblOffset val="100"/>
        <c:noMultiLvlLbl val="0"/>
      </c:catAx>
      <c:valAx>
        <c:axId val="120405439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0405487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chart" Target="../charts/chart3.xml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95375" y="5153024"/>
          <a:ext cx="16637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7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7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217619</xdr:colOff>
      <xdr:row>11</xdr:row>
      <xdr:rowOff>176211</xdr:rowOff>
    </xdr:from>
    <xdr:to>
      <xdr:col>7</xdr:col>
      <xdr:colOff>146182</xdr:colOff>
      <xdr:row>27</xdr:row>
      <xdr:rowOff>61911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36CA97E-5B67-922F-6E00-FBE016F41F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130969</xdr:colOff>
      <xdr:row>0</xdr:row>
      <xdr:rowOff>53577</xdr:rowOff>
    </xdr:from>
    <xdr:to>
      <xdr:col>24</xdr:col>
      <xdr:colOff>327422</xdr:colOff>
      <xdr:row>4</xdr:row>
      <xdr:rowOff>172639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543BB560-19B1-CAED-FD0B-DFA4178CA923}"/>
            </a:ext>
          </a:extLst>
        </xdr:cNvPr>
        <xdr:cNvSpPr/>
      </xdr:nvSpPr>
      <xdr:spPr>
        <a:xfrm>
          <a:off x="130969" y="53577"/>
          <a:ext cx="15978188" cy="833437"/>
        </a:xfrm>
        <a:prstGeom prst="roundRect">
          <a:avLst/>
        </a:prstGeom>
        <a:solidFill>
          <a:schemeClr val="bg1">
            <a:lumMod val="75000"/>
          </a:schemeClr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267892</xdr:colOff>
      <xdr:row>1</xdr:row>
      <xdr:rowOff>142875</xdr:rowOff>
    </xdr:from>
    <xdr:to>
      <xdr:col>0</xdr:col>
      <xdr:colOff>1319556</xdr:colOff>
      <xdr:row>3</xdr:row>
      <xdr:rowOff>71438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8834B3D-5D37-45DC-8F4A-3FF26C36B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7892" y="321469"/>
          <a:ext cx="1051664" cy="285750"/>
        </a:xfrm>
        <a:prstGeom prst="rect">
          <a:avLst/>
        </a:prstGeom>
      </xdr:spPr>
    </xdr:pic>
    <xdr:clientData/>
  </xdr:twoCellAnchor>
  <xdr:twoCellAnchor>
    <xdr:from>
      <xdr:col>0</xdr:col>
      <xdr:colOff>559593</xdr:colOff>
      <xdr:row>6</xdr:row>
      <xdr:rowOff>65483</xdr:rowOff>
    </xdr:from>
    <xdr:to>
      <xdr:col>6</xdr:col>
      <xdr:colOff>567837</xdr:colOff>
      <xdr:row>12</xdr:row>
      <xdr:rowOff>166686</xdr:rowOff>
    </xdr:to>
    <xdr:sp macro="" textlink="C̳álculos!E6">
      <xdr:nvSpPr>
        <xdr:cNvPr id="4" name="Retângulo: Cantos Arredondados 3">
          <a:extLst>
            <a:ext uri="{FF2B5EF4-FFF2-40B4-BE49-F238E27FC236}">
              <a16:creationId xmlns:a16="http://schemas.microsoft.com/office/drawing/2014/main" id="{2E5235CC-9355-87F5-3714-55E268076B5D}"/>
            </a:ext>
          </a:extLst>
        </xdr:cNvPr>
        <xdr:cNvSpPr/>
      </xdr:nvSpPr>
      <xdr:spPr>
        <a:xfrm>
          <a:off x="559593" y="1164521"/>
          <a:ext cx="4282282" cy="1200242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92E9F6B-B260-4D4B-AE43-146839451C28}" type="TxLink">
            <a:rPr lang="en-US" sz="5400" b="1" i="0" u="none" strike="noStrike">
              <a:solidFill>
                <a:srgbClr val="000000"/>
              </a:solidFill>
              <a:latin typeface="Aptos ExtraBold" panose="020F0502020204030204" pitchFamily="34" charset="0"/>
            </a:rPr>
            <a:pPr algn="ctr"/>
            <a:t>295</a:t>
          </a:fld>
          <a:endParaRPr lang="pt-BR" sz="5400" b="1">
            <a:latin typeface="Aptos ExtraBold" panose="020F0502020204030204" pitchFamily="34" charset="0"/>
          </a:endParaRPr>
        </a:p>
      </xdr:txBody>
    </xdr:sp>
    <xdr:clientData/>
  </xdr:twoCellAnchor>
  <xdr:twoCellAnchor>
    <xdr:from>
      <xdr:col>7</xdr:col>
      <xdr:colOff>171663</xdr:colOff>
      <xdr:row>6</xdr:row>
      <xdr:rowOff>60904</xdr:rowOff>
    </xdr:from>
    <xdr:to>
      <xdr:col>14</xdr:col>
      <xdr:colOff>393089</xdr:colOff>
      <xdr:row>12</xdr:row>
      <xdr:rowOff>166686</xdr:rowOff>
    </xdr:to>
    <xdr:sp macro="" textlink="C̳álculos!C12">
      <xdr:nvSpPr>
        <xdr:cNvPr id="7" name="Retângulo: Cantos Arredondados 6">
          <a:extLst>
            <a:ext uri="{FF2B5EF4-FFF2-40B4-BE49-F238E27FC236}">
              <a16:creationId xmlns:a16="http://schemas.microsoft.com/office/drawing/2014/main" id="{826E2631-629A-446B-AACA-F1A671F9BFC5}"/>
            </a:ext>
          </a:extLst>
        </xdr:cNvPr>
        <xdr:cNvSpPr/>
      </xdr:nvSpPr>
      <xdr:spPr>
        <a:xfrm>
          <a:off x="5092913" y="1159942"/>
          <a:ext cx="4574840" cy="1204821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r"/>
          <a:fld id="{F9B1110C-BC32-4104-A1B0-D8B8CADC00B9}" type="TxLink">
            <a:rPr lang="en-US" sz="3600" b="1" i="0" u="none" strike="noStrike">
              <a:solidFill>
                <a:srgbClr val="000000"/>
              </a:solidFill>
              <a:latin typeface="Aptos ExtraBold" panose="020F0502020204030204" pitchFamily="34" charset="0"/>
              <a:ea typeface="+mn-ea"/>
              <a:cs typeface="+mn-cs"/>
            </a:rPr>
            <a:pPr marL="0" indent="0" algn="r"/>
            <a:t> R$ 3.880,00 </a:t>
          </a:fld>
          <a:endParaRPr lang="pt-BR" sz="3600" b="1" i="0" u="none" strike="noStrike">
            <a:solidFill>
              <a:srgbClr val="000000"/>
            </a:solidFill>
            <a:latin typeface="Aptos ExtraBold" panose="020F050202020403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644127</xdr:colOff>
      <xdr:row>6</xdr:row>
      <xdr:rowOff>60904</xdr:rowOff>
    </xdr:from>
    <xdr:to>
      <xdr:col>22</xdr:col>
      <xdr:colOff>610577</xdr:colOff>
      <xdr:row>12</xdr:row>
      <xdr:rowOff>166686</xdr:rowOff>
    </xdr:to>
    <xdr:sp macro="" textlink="C̳álculos!D12">
      <xdr:nvSpPr>
        <xdr:cNvPr id="8" name="Retângulo: Cantos Arredondados 7">
          <a:extLst>
            <a:ext uri="{FF2B5EF4-FFF2-40B4-BE49-F238E27FC236}">
              <a16:creationId xmlns:a16="http://schemas.microsoft.com/office/drawing/2014/main" id="{DE530081-E123-42B2-A3CC-5602FD7BFFD5}"/>
            </a:ext>
          </a:extLst>
        </xdr:cNvPr>
        <xdr:cNvSpPr/>
      </xdr:nvSpPr>
      <xdr:spPr>
        <a:xfrm>
          <a:off x="9918791" y="1159942"/>
          <a:ext cx="5144142" cy="1204821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r"/>
          <a:fld id="{732FAC86-4564-4B5C-A7C9-2B576F3E7491}" type="TxLink">
            <a:rPr lang="en-US" sz="3600" b="1" i="0" u="none" strike="noStrike">
              <a:solidFill>
                <a:srgbClr val="000000"/>
              </a:solidFill>
              <a:latin typeface="Aptos ExtraBold" panose="020F0502020204030204" pitchFamily="34" charset="0"/>
              <a:ea typeface="+mn-ea"/>
              <a:cs typeface="+mn-cs"/>
            </a:rPr>
            <a:pPr marL="0" indent="0" algn="r"/>
            <a:t> R$ 2.940,00 </a:t>
          </a:fld>
          <a:endParaRPr lang="pt-BR" sz="3600" b="1" i="0" u="none" strike="noStrike">
            <a:solidFill>
              <a:srgbClr val="000000"/>
            </a:solidFill>
            <a:latin typeface="Aptos ExtraBold" panose="020F0502020204030204" pitchFamily="34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15</xdr:col>
      <xdr:colOff>253357</xdr:colOff>
      <xdr:row>6</xdr:row>
      <xdr:rowOff>109751</xdr:rowOff>
    </xdr:from>
    <xdr:to>
      <xdr:col>18</xdr:col>
      <xdr:colOff>262547</xdr:colOff>
      <xdr:row>12</xdr:row>
      <xdr:rowOff>163237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6BB1F697-1272-45BA-BFE4-CCF8D5560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5233" y="1208789"/>
          <a:ext cx="1950824" cy="1152525"/>
        </a:xfrm>
        <a:prstGeom prst="rect">
          <a:avLst/>
        </a:prstGeom>
      </xdr:spPr>
    </xdr:pic>
    <xdr:clientData/>
  </xdr:twoCellAnchor>
  <xdr:twoCellAnchor editAs="absolute">
    <xdr:from>
      <xdr:col>7</xdr:col>
      <xdr:colOff>348730</xdr:colOff>
      <xdr:row>7</xdr:row>
      <xdr:rowOff>67009</xdr:rowOff>
    </xdr:from>
    <xdr:to>
      <xdr:col>10</xdr:col>
      <xdr:colOff>70871</xdr:colOff>
      <xdr:row>11</xdr:row>
      <xdr:rowOff>48693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0B3C047B-AD27-41DC-9A3C-034065D6E391}"/>
            </a:ext>
          </a:extLst>
        </xdr:cNvPr>
        <xdr:cNvGrpSpPr/>
      </xdr:nvGrpSpPr>
      <xdr:grpSpPr>
        <a:xfrm>
          <a:off x="5275186" y="1323998"/>
          <a:ext cx="1666177" cy="699962"/>
          <a:chOff x="3495675" y="5400674"/>
          <a:chExt cx="1549476" cy="752476"/>
        </a:xfrm>
      </xdr:grpSpPr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89AE3243-2EBE-A48D-5D9E-7E55F3E80E1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2" name="Gráfico 11">
            <a:extLst>
              <a:ext uri="{FF2B5EF4-FFF2-40B4-BE49-F238E27FC236}">
                <a16:creationId xmlns:a16="http://schemas.microsoft.com/office/drawing/2014/main" id="{7B093895-44DE-4F1B-9835-6ED3290E6B0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598366</xdr:colOff>
      <xdr:row>6</xdr:row>
      <xdr:rowOff>109905</xdr:rowOff>
    </xdr:from>
    <xdr:to>
      <xdr:col>6</xdr:col>
      <xdr:colOff>549520</xdr:colOff>
      <xdr:row>8</xdr:row>
      <xdr:rowOff>116010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3438C7A7-EA23-7D11-AAEA-B90AC5FC6A40}"/>
            </a:ext>
          </a:extLst>
        </xdr:cNvPr>
        <xdr:cNvSpPr txBox="1"/>
      </xdr:nvSpPr>
      <xdr:spPr>
        <a:xfrm>
          <a:off x="598366" y="1208943"/>
          <a:ext cx="4225192" cy="3724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>
              <a:solidFill>
                <a:schemeClr val="bg2">
                  <a:lumMod val="75000"/>
                </a:schemeClr>
              </a:solidFill>
              <a:latin typeface="+mn-lt"/>
            </a:rPr>
            <a:t>Usuários Cadastrados</a:t>
          </a:r>
        </a:p>
      </xdr:txBody>
    </xdr:sp>
    <xdr:clientData/>
  </xdr:twoCellAnchor>
  <xdr:twoCellAnchor>
    <xdr:from>
      <xdr:col>0</xdr:col>
      <xdr:colOff>547138</xdr:colOff>
      <xdr:row>14</xdr:row>
      <xdr:rowOff>85882</xdr:rowOff>
    </xdr:from>
    <xdr:to>
      <xdr:col>6</xdr:col>
      <xdr:colOff>555382</xdr:colOff>
      <xdr:row>38</xdr:row>
      <xdr:rowOff>103798</xdr:rowOff>
    </xdr:to>
    <xdr:sp macro="" textlink="">
      <xdr:nvSpPr>
        <xdr:cNvPr id="14" name="Retângulo: Cantos Arredondados 13">
          <a:extLst>
            <a:ext uri="{FF2B5EF4-FFF2-40B4-BE49-F238E27FC236}">
              <a16:creationId xmlns:a16="http://schemas.microsoft.com/office/drawing/2014/main" id="{E8D7C1EA-4267-4A00-ACBB-0F242CAC014A}"/>
            </a:ext>
          </a:extLst>
        </xdr:cNvPr>
        <xdr:cNvSpPr/>
      </xdr:nvSpPr>
      <xdr:spPr>
        <a:xfrm>
          <a:off x="547138" y="2599857"/>
          <a:ext cx="4286687" cy="4327589"/>
        </a:xfrm>
        <a:prstGeom prst="roundRect">
          <a:avLst>
            <a:gd name="adj" fmla="val 4754"/>
          </a:avLst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5400" b="1" i="0" u="none" strike="noStrike">
            <a:solidFill>
              <a:srgbClr val="000000"/>
            </a:solidFill>
            <a:latin typeface="Aptos ExtraBold" panose="020F0502020204030204" pitchFamily="34" charset="0"/>
          </a:endParaRPr>
        </a:p>
      </xdr:txBody>
    </xdr:sp>
    <xdr:clientData/>
  </xdr:twoCellAnchor>
  <xdr:twoCellAnchor>
    <xdr:from>
      <xdr:col>0</xdr:col>
      <xdr:colOff>805962</xdr:colOff>
      <xdr:row>17</xdr:row>
      <xdr:rowOff>170961</xdr:rowOff>
    </xdr:from>
    <xdr:to>
      <xdr:col>6</xdr:col>
      <xdr:colOff>256443</xdr:colOff>
      <xdr:row>37</xdr:row>
      <xdr:rowOff>30529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83815E8D-9183-4FEA-ABAC-1CEC2FA0C9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511940</xdr:colOff>
      <xdr:row>15</xdr:row>
      <xdr:rowOff>39694</xdr:rowOff>
    </xdr:from>
    <xdr:to>
      <xdr:col>6</xdr:col>
      <xdr:colOff>463094</xdr:colOff>
      <xdr:row>17</xdr:row>
      <xdr:rowOff>45800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925842E7-C72B-498D-A474-A758115BFE57}"/>
            </a:ext>
          </a:extLst>
        </xdr:cNvPr>
        <xdr:cNvSpPr txBox="1"/>
      </xdr:nvSpPr>
      <xdr:spPr>
        <a:xfrm>
          <a:off x="511940" y="2733240"/>
          <a:ext cx="4229597" cy="3652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400" b="1">
              <a:solidFill>
                <a:schemeClr val="bg2">
                  <a:lumMod val="75000"/>
                </a:schemeClr>
              </a:solidFill>
              <a:latin typeface="+mn-lt"/>
            </a:rPr>
            <a:t>Usuários por tipo de inscrição</a:t>
          </a:r>
        </a:p>
      </xdr:txBody>
    </xdr:sp>
    <xdr:clientData/>
  </xdr:twoCellAnchor>
  <xdr:twoCellAnchor>
    <xdr:from>
      <xdr:col>7</xdr:col>
      <xdr:colOff>273256</xdr:colOff>
      <xdr:row>14</xdr:row>
      <xdr:rowOff>171762</xdr:rowOff>
    </xdr:from>
    <xdr:to>
      <xdr:col>23</xdr:col>
      <xdr:colOff>31230</xdr:colOff>
      <xdr:row>38</xdr:row>
      <xdr:rowOff>31228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B0343F5A-6551-44E0-A82E-DAB83D165F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Júlia Luciano Kucharski" refreshedDate="46072.765411805558" createdVersion="8" refreshedVersion="8" minRefreshableVersion="3" recordCount="295" xr:uid="{E82FDE7F-81FF-444A-8466-150A1A4738A4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x v="0"/>
    <n v="15"/>
    <x v="0"/>
    <x v="0"/>
    <x v="0"/>
    <x v="0"/>
    <n v="20"/>
    <n v="5"/>
    <n v="60"/>
  </r>
  <r>
    <n v="3232"/>
    <s v="Maria Oliveira"/>
    <x v="1"/>
    <x v="1"/>
    <x v="1"/>
    <n v="5"/>
    <x v="1"/>
    <x v="1"/>
    <x v="1"/>
    <x v="1"/>
    <n v="0"/>
    <n v="0"/>
    <n v="5"/>
  </r>
  <r>
    <n v="3233"/>
    <s v="Lucas Fernandes"/>
    <x v="2"/>
    <x v="2"/>
    <x v="0"/>
    <n v="10"/>
    <x v="2"/>
    <x v="1"/>
    <x v="1"/>
    <x v="0"/>
    <n v="20"/>
    <n v="10"/>
    <n v="20"/>
  </r>
  <r>
    <n v="3234"/>
    <s v="Ana Souza"/>
    <x v="0"/>
    <x v="3"/>
    <x v="1"/>
    <n v="15"/>
    <x v="0"/>
    <x v="0"/>
    <x v="0"/>
    <x v="0"/>
    <n v="20"/>
    <n v="3"/>
    <n v="62"/>
  </r>
  <r>
    <n v="3235"/>
    <s v="Pedro Gonçalves"/>
    <x v="1"/>
    <x v="4"/>
    <x v="0"/>
    <n v="5"/>
    <x v="0"/>
    <x v="1"/>
    <x v="1"/>
    <x v="1"/>
    <n v="0"/>
    <n v="1"/>
    <n v="4"/>
  </r>
  <r>
    <n v="3236"/>
    <s v="Felipe Costa"/>
    <x v="2"/>
    <x v="5"/>
    <x v="1"/>
    <n v="10"/>
    <x v="0"/>
    <x v="1"/>
    <x v="1"/>
    <x v="0"/>
    <n v="20"/>
    <n v="2"/>
    <n v="28"/>
  </r>
  <r>
    <n v="3237"/>
    <s v="Camila Ribeiro"/>
    <x v="0"/>
    <x v="6"/>
    <x v="0"/>
    <n v="15"/>
    <x v="2"/>
    <x v="0"/>
    <x v="0"/>
    <x v="0"/>
    <n v="20"/>
    <n v="10"/>
    <n v="55"/>
  </r>
  <r>
    <n v="3238"/>
    <s v="André Mendes"/>
    <x v="1"/>
    <x v="7"/>
    <x v="0"/>
    <n v="5"/>
    <x v="1"/>
    <x v="1"/>
    <x v="1"/>
    <x v="1"/>
    <n v="0"/>
    <n v="0"/>
    <n v="5"/>
  </r>
  <r>
    <n v="3239"/>
    <s v="Sofia Almeida"/>
    <x v="0"/>
    <x v="4"/>
    <x v="1"/>
    <n v="15"/>
    <x v="0"/>
    <x v="0"/>
    <x v="0"/>
    <x v="0"/>
    <n v="20"/>
    <n v="5"/>
    <n v="60"/>
  </r>
  <r>
    <n v="3240"/>
    <s v="Bruno Martins"/>
    <x v="2"/>
    <x v="8"/>
    <x v="0"/>
    <n v="10"/>
    <x v="2"/>
    <x v="1"/>
    <x v="1"/>
    <x v="0"/>
    <n v="20"/>
    <n v="15"/>
    <n v="15"/>
  </r>
  <r>
    <n v="3241"/>
    <s v="Rita Castro"/>
    <x v="1"/>
    <x v="9"/>
    <x v="1"/>
    <n v="5"/>
    <x v="0"/>
    <x v="1"/>
    <x v="1"/>
    <x v="1"/>
    <n v="0"/>
    <n v="1"/>
    <n v="4"/>
  </r>
  <r>
    <n v="3242"/>
    <s v="Marco Túlio"/>
    <x v="0"/>
    <x v="10"/>
    <x v="0"/>
    <n v="15"/>
    <x v="1"/>
    <x v="0"/>
    <x v="0"/>
    <x v="0"/>
    <n v="20"/>
    <n v="20"/>
    <n v="45"/>
  </r>
  <r>
    <n v="3243"/>
    <s v="Lívia Silveira"/>
    <x v="2"/>
    <x v="11"/>
    <x v="1"/>
    <n v="10"/>
    <x v="0"/>
    <x v="1"/>
    <x v="1"/>
    <x v="0"/>
    <n v="20"/>
    <n v="10"/>
    <n v="20"/>
  </r>
  <r>
    <n v="3244"/>
    <s v="Diogo Sousa"/>
    <x v="1"/>
    <x v="12"/>
    <x v="0"/>
    <n v="5"/>
    <x v="2"/>
    <x v="1"/>
    <x v="1"/>
    <x v="1"/>
    <n v="0"/>
    <n v="0"/>
    <n v="5"/>
  </r>
  <r>
    <n v="3245"/>
    <s v="Fernanda Lima"/>
    <x v="0"/>
    <x v="13"/>
    <x v="1"/>
    <n v="15"/>
    <x v="0"/>
    <x v="0"/>
    <x v="0"/>
    <x v="0"/>
    <n v="20"/>
    <n v="8"/>
    <n v="57"/>
  </r>
  <r>
    <n v="3246"/>
    <s v="Caio Pereira"/>
    <x v="2"/>
    <x v="14"/>
    <x v="0"/>
    <n v="10"/>
    <x v="1"/>
    <x v="1"/>
    <x v="1"/>
    <x v="0"/>
    <n v="20"/>
    <n v="12"/>
    <n v="18"/>
  </r>
  <r>
    <n v="3247"/>
    <s v="Beatriz Gomes"/>
    <x v="1"/>
    <x v="15"/>
    <x v="1"/>
    <n v="5"/>
    <x v="0"/>
    <x v="1"/>
    <x v="1"/>
    <x v="1"/>
    <n v="0"/>
    <n v="2"/>
    <n v="3"/>
  </r>
  <r>
    <n v="3248"/>
    <s v="Cesar Oliveira"/>
    <x v="0"/>
    <x v="16"/>
    <x v="0"/>
    <n v="15"/>
    <x v="2"/>
    <x v="0"/>
    <x v="0"/>
    <x v="0"/>
    <n v="20"/>
    <n v="7"/>
    <n v="58"/>
  </r>
  <r>
    <n v="3249"/>
    <s v="Débora Machado"/>
    <x v="2"/>
    <x v="17"/>
    <x v="1"/>
    <n v="10"/>
    <x v="0"/>
    <x v="1"/>
    <x v="1"/>
    <x v="0"/>
    <n v="20"/>
    <n v="5"/>
    <n v="25"/>
  </r>
  <r>
    <n v="3250"/>
    <s v="Eduardo Vargas"/>
    <x v="1"/>
    <x v="18"/>
    <x v="0"/>
    <n v="5"/>
    <x v="1"/>
    <x v="1"/>
    <x v="1"/>
    <x v="1"/>
    <n v="0"/>
    <n v="0"/>
    <n v="5"/>
  </r>
  <r>
    <n v="3251"/>
    <s v="Gabriela Santos"/>
    <x v="0"/>
    <x v="19"/>
    <x v="1"/>
    <n v="15"/>
    <x v="0"/>
    <x v="0"/>
    <x v="0"/>
    <x v="0"/>
    <n v="20"/>
    <n v="3"/>
    <n v="62"/>
  </r>
  <r>
    <n v="3252"/>
    <s v="Henrique Dias"/>
    <x v="2"/>
    <x v="20"/>
    <x v="0"/>
    <n v="10"/>
    <x v="2"/>
    <x v="1"/>
    <x v="1"/>
    <x v="0"/>
    <n v="20"/>
    <n v="15"/>
    <n v="15"/>
  </r>
  <r>
    <n v="3253"/>
    <s v="Isabela Moreira"/>
    <x v="1"/>
    <x v="21"/>
    <x v="1"/>
    <n v="5"/>
    <x v="0"/>
    <x v="1"/>
    <x v="1"/>
    <x v="1"/>
    <n v="0"/>
    <n v="1"/>
    <n v="4"/>
  </r>
  <r>
    <n v="3254"/>
    <s v="Joaquim Barbosa"/>
    <x v="0"/>
    <x v="22"/>
    <x v="0"/>
    <n v="15"/>
    <x v="1"/>
    <x v="0"/>
    <x v="0"/>
    <x v="0"/>
    <n v="20"/>
    <n v="20"/>
    <n v="45"/>
  </r>
  <r>
    <n v="3255"/>
    <s v="Lara Rocha"/>
    <x v="2"/>
    <x v="23"/>
    <x v="1"/>
    <n v="10"/>
    <x v="0"/>
    <x v="1"/>
    <x v="1"/>
    <x v="0"/>
    <n v="20"/>
    <n v="10"/>
    <n v="20"/>
  </r>
  <r>
    <n v="3256"/>
    <s v="Matheus Silva"/>
    <x v="1"/>
    <x v="24"/>
    <x v="0"/>
    <n v="5"/>
    <x v="2"/>
    <x v="1"/>
    <x v="1"/>
    <x v="1"/>
    <n v="0"/>
    <n v="0"/>
    <n v="5"/>
  </r>
  <r>
    <n v="3257"/>
    <s v="Nicole Costa"/>
    <x v="0"/>
    <x v="25"/>
    <x v="1"/>
    <n v="15"/>
    <x v="0"/>
    <x v="0"/>
    <x v="0"/>
    <x v="0"/>
    <n v="20"/>
    <n v="5"/>
    <n v="60"/>
  </r>
  <r>
    <n v="3258"/>
    <s v="Otávio Mendonça"/>
    <x v="2"/>
    <x v="26"/>
    <x v="0"/>
    <n v="10"/>
    <x v="1"/>
    <x v="1"/>
    <x v="1"/>
    <x v="0"/>
    <n v="20"/>
    <n v="15"/>
    <n v="15"/>
  </r>
  <r>
    <n v="3259"/>
    <s v="Paula Ferreira"/>
    <x v="1"/>
    <x v="27"/>
    <x v="1"/>
    <n v="5"/>
    <x v="0"/>
    <x v="1"/>
    <x v="1"/>
    <x v="1"/>
    <n v="0"/>
    <n v="1"/>
    <n v="4"/>
  </r>
  <r>
    <n v="3260"/>
    <s v="Raquel Alves"/>
    <x v="0"/>
    <x v="28"/>
    <x v="0"/>
    <n v="15"/>
    <x v="2"/>
    <x v="0"/>
    <x v="0"/>
    <x v="0"/>
    <n v="20"/>
    <n v="7"/>
    <n v="58"/>
  </r>
  <r>
    <n v="3261"/>
    <s v="Samuel Pires"/>
    <x v="2"/>
    <x v="29"/>
    <x v="1"/>
    <n v="10"/>
    <x v="0"/>
    <x v="1"/>
    <x v="1"/>
    <x v="0"/>
    <n v="20"/>
    <n v="10"/>
    <n v="20"/>
  </r>
  <r>
    <n v="3262"/>
    <s v="Tânia Barros"/>
    <x v="1"/>
    <x v="30"/>
    <x v="0"/>
    <n v="5"/>
    <x v="1"/>
    <x v="1"/>
    <x v="1"/>
    <x v="1"/>
    <n v="0"/>
    <n v="0"/>
    <n v="5"/>
  </r>
  <r>
    <n v="3263"/>
    <s v="Vinicius Lima"/>
    <x v="0"/>
    <x v="31"/>
    <x v="1"/>
    <n v="15"/>
    <x v="0"/>
    <x v="0"/>
    <x v="0"/>
    <x v="0"/>
    <n v="20"/>
    <n v="3"/>
    <n v="62"/>
  </r>
  <r>
    <n v="3264"/>
    <s v="Yasmin Teixeira"/>
    <x v="2"/>
    <x v="32"/>
    <x v="0"/>
    <n v="10"/>
    <x v="2"/>
    <x v="1"/>
    <x v="1"/>
    <x v="0"/>
    <n v="20"/>
    <n v="15"/>
    <n v="15"/>
  </r>
  <r>
    <n v="3265"/>
    <s v="Zé Carlos"/>
    <x v="1"/>
    <x v="33"/>
    <x v="1"/>
    <n v="5"/>
    <x v="0"/>
    <x v="1"/>
    <x v="1"/>
    <x v="1"/>
    <n v="0"/>
    <n v="1"/>
    <n v="4"/>
  </r>
  <r>
    <n v="3266"/>
    <s v="Amanda Nogueira"/>
    <x v="1"/>
    <x v="34"/>
    <x v="0"/>
    <n v="5"/>
    <x v="0"/>
    <x v="1"/>
    <x v="1"/>
    <x v="1"/>
    <n v="0"/>
    <n v="0"/>
    <n v="5"/>
  </r>
  <r>
    <n v="3267"/>
    <s v="Bruno Cavalheiro"/>
    <x v="0"/>
    <x v="35"/>
    <x v="1"/>
    <n v="15"/>
    <x v="2"/>
    <x v="0"/>
    <x v="0"/>
    <x v="0"/>
    <n v="20"/>
    <n v="7"/>
    <n v="58"/>
  </r>
  <r>
    <n v="3268"/>
    <s v="Carla Dias"/>
    <x v="2"/>
    <x v="36"/>
    <x v="0"/>
    <n v="10"/>
    <x v="1"/>
    <x v="1"/>
    <x v="1"/>
    <x v="0"/>
    <n v="20"/>
    <n v="10"/>
    <n v="20"/>
  </r>
  <r>
    <n v="3269"/>
    <s v="Diego Fontes"/>
    <x v="1"/>
    <x v="37"/>
    <x v="1"/>
    <n v="5"/>
    <x v="2"/>
    <x v="1"/>
    <x v="1"/>
    <x v="1"/>
    <n v="0"/>
    <n v="1"/>
    <n v="4"/>
  </r>
  <r>
    <n v="3270"/>
    <s v="Eunice Lima"/>
    <x v="0"/>
    <x v="38"/>
    <x v="0"/>
    <n v="15"/>
    <x v="0"/>
    <x v="0"/>
    <x v="0"/>
    <x v="0"/>
    <n v="20"/>
    <n v="15"/>
    <n v="50"/>
  </r>
  <r>
    <n v="3271"/>
    <s v="Fábio Martins"/>
    <x v="2"/>
    <x v="39"/>
    <x v="1"/>
    <n v="10"/>
    <x v="0"/>
    <x v="1"/>
    <x v="1"/>
    <x v="0"/>
    <n v="20"/>
    <n v="5"/>
    <n v="25"/>
  </r>
  <r>
    <n v="3272"/>
    <s v="Gisele Araújo"/>
    <x v="1"/>
    <x v="40"/>
    <x v="0"/>
    <n v="5"/>
    <x v="1"/>
    <x v="1"/>
    <x v="1"/>
    <x v="1"/>
    <n v="0"/>
    <n v="0"/>
    <n v="5"/>
  </r>
  <r>
    <n v="3273"/>
    <s v="Hélio Castro"/>
    <x v="0"/>
    <x v="41"/>
    <x v="1"/>
    <n v="15"/>
    <x v="2"/>
    <x v="0"/>
    <x v="0"/>
    <x v="0"/>
    <n v="20"/>
    <n v="20"/>
    <n v="45"/>
  </r>
  <r>
    <n v="3274"/>
    <s v="Ingrid Menezes"/>
    <x v="2"/>
    <x v="42"/>
    <x v="0"/>
    <n v="10"/>
    <x v="2"/>
    <x v="1"/>
    <x v="1"/>
    <x v="0"/>
    <n v="20"/>
    <n v="12"/>
    <n v="18"/>
  </r>
  <r>
    <n v="3275"/>
    <s v="Jorge Baptista"/>
    <x v="1"/>
    <x v="43"/>
    <x v="1"/>
    <n v="5"/>
    <x v="0"/>
    <x v="1"/>
    <x v="1"/>
    <x v="1"/>
    <n v="0"/>
    <n v="2"/>
    <n v="3"/>
  </r>
  <r>
    <n v="3276"/>
    <s v="Kléber Oliveira"/>
    <x v="0"/>
    <x v="44"/>
    <x v="0"/>
    <n v="15"/>
    <x v="1"/>
    <x v="0"/>
    <x v="0"/>
    <x v="0"/>
    <n v="20"/>
    <n v="5"/>
    <n v="60"/>
  </r>
  <r>
    <n v="3277"/>
    <s v="Luciana Freitas"/>
    <x v="2"/>
    <x v="45"/>
    <x v="1"/>
    <n v="10"/>
    <x v="0"/>
    <x v="1"/>
    <x v="1"/>
    <x v="0"/>
    <n v="20"/>
    <n v="10"/>
    <n v="20"/>
  </r>
  <r>
    <n v="3278"/>
    <s v="Márcia Eller"/>
    <x v="1"/>
    <x v="46"/>
    <x v="0"/>
    <n v="5"/>
    <x v="2"/>
    <x v="1"/>
    <x v="1"/>
    <x v="1"/>
    <n v="0"/>
    <n v="0"/>
    <n v="5"/>
  </r>
  <r>
    <n v="3279"/>
    <s v="Nilo Peçanha"/>
    <x v="0"/>
    <x v="47"/>
    <x v="1"/>
    <n v="15"/>
    <x v="0"/>
    <x v="0"/>
    <x v="0"/>
    <x v="0"/>
    <n v="20"/>
    <n v="3"/>
    <n v="62"/>
  </r>
  <r>
    <n v="3280"/>
    <s v="Oscar Neves"/>
    <x v="2"/>
    <x v="48"/>
    <x v="0"/>
    <n v="10"/>
    <x v="1"/>
    <x v="1"/>
    <x v="1"/>
    <x v="0"/>
    <n v="20"/>
    <n v="15"/>
    <n v="15"/>
  </r>
  <r>
    <n v="3281"/>
    <s v="Patrícia Soares"/>
    <x v="1"/>
    <x v="49"/>
    <x v="1"/>
    <n v="5"/>
    <x v="0"/>
    <x v="1"/>
    <x v="1"/>
    <x v="1"/>
    <n v="0"/>
    <n v="1"/>
    <n v="4"/>
  </r>
  <r>
    <n v="3282"/>
    <s v="Quirino Gonçalves"/>
    <x v="0"/>
    <x v="50"/>
    <x v="0"/>
    <n v="15"/>
    <x v="2"/>
    <x v="0"/>
    <x v="0"/>
    <x v="0"/>
    <n v="20"/>
    <n v="7"/>
    <n v="58"/>
  </r>
  <r>
    <n v="3283"/>
    <s v="Raul Machado"/>
    <x v="2"/>
    <x v="51"/>
    <x v="1"/>
    <n v="10"/>
    <x v="0"/>
    <x v="1"/>
    <x v="1"/>
    <x v="0"/>
    <n v="20"/>
    <n v="10"/>
    <n v="20"/>
  </r>
  <r>
    <n v="3284"/>
    <s v="Sônia Lobo"/>
    <x v="1"/>
    <x v="52"/>
    <x v="0"/>
    <n v="5"/>
    <x v="1"/>
    <x v="1"/>
    <x v="1"/>
    <x v="1"/>
    <n v="0"/>
    <n v="0"/>
    <n v="5"/>
  </r>
  <r>
    <n v="3285"/>
    <s v="Tiago Ramos"/>
    <x v="0"/>
    <x v="53"/>
    <x v="1"/>
    <n v="15"/>
    <x v="0"/>
    <x v="0"/>
    <x v="0"/>
    <x v="0"/>
    <n v="20"/>
    <n v="20"/>
    <n v="45"/>
  </r>
  <r>
    <n v="3286"/>
    <s v="Ugo Pires"/>
    <x v="2"/>
    <x v="54"/>
    <x v="0"/>
    <n v="10"/>
    <x v="2"/>
    <x v="1"/>
    <x v="1"/>
    <x v="0"/>
    <n v="20"/>
    <n v="15"/>
    <n v="15"/>
  </r>
  <r>
    <n v="3287"/>
    <s v="Valéria Nobre"/>
    <x v="1"/>
    <x v="55"/>
    <x v="1"/>
    <n v="5"/>
    <x v="0"/>
    <x v="1"/>
    <x v="1"/>
    <x v="1"/>
    <n v="0"/>
    <n v="1"/>
    <n v="4"/>
  </r>
  <r>
    <n v="3288"/>
    <s v="William Siqueira"/>
    <x v="0"/>
    <x v="56"/>
    <x v="0"/>
    <n v="15"/>
    <x v="1"/>
    <x v="0"/>
    <x v="0"/>
    <x v="0"/>
    <n v="20"/>
    <n v="3"/>
    <n v="62"/>
  </r>
  <r>
    <n v="3289"/>
    <s v="Xuxa Meneghel"/>
    <x v="2"/>
    <x v="57"/>
    <x v="1"/>
    <n v="10"/>
    <x v="0"/>
    <x v="1"/>
    <x v="1"/>
    <x v="0"/>
    <n v="20"/>
    <n v="10"/>
    <n v="20"/>
  </r>
  <r>
    <n v="3290"/>
    <s v="Yara Figueiredo"/>
    <x v="1"/>
    <x v="58"/>
    <x v="0"/>
    <n v="5"/>
    <x v="2"/>
    <x v="1"/>
    <x v="1"/>
    <x v="1"/>
    <n v="0"/>
    <n v="0"/>
    <n v="5"/>
  </r>
  <r>
    <n v="3291"/>
    <s v="Zacarias Alves"/>
    <x v="0"/>
    <x v="59"/>
    <x v="1"/>
    <n v="15"/>
    <x v="0"/>
    <x v="0"/>
    <x v="0"/>
    <x v="0"/>
    <n v="20"/>
    <n v="5"/>
    <n v="60"/>
  </r>
  <r>
    <n v="3292"/>
    <s v="Amanda Bynes"/>
    <x v="2"/>
    <x v="60"/>
    <x v="0"/>
    <n v="10"/>
    <x v="1"/>
    <x v="1"/>
    <x v="1"/>
    <x v="0"/>
    <n v="20"/>
    <n v="15"/>
    <n v="15"/>
  </r>
  <r>
    <n v="3293"/>
    <s v="Bruno Mars"/>
    <x v="1"/>
    <x v="61"/>
    <x v="1"/>
    <n v="5"/>
    <x v="0"/>
    <x v="1"/>
    <x v="1"/>
    <x v="1"/>
    <n v="0"/>
    <n v="1"/>
    <n v="4"/>
  </r>
  <r>
    <n v="3294"/>
    <s v="Carla Bruni"/>
    <x v="0"/>
    <x v="62"/>
    <x v="0"/>
    <n v="15"/>
    <x v="2"/>
    <x v="0"/>
    <x v="0"/>
    <x v="0"/>
    <n v="20"/>
    <n v="20"/>
    <n v="45"/>
  </r>
  <r>
    <n v="3295"/>
    <s v="Diego Maradona"/>
    <x v="2"/>
    <x v="63"/>
    <x v="1"/>
    <n v="10"/>
    <x v="0"/>
    <x v="1"/>
    <x v="1"/>
    <x v="0"/>
    <n v="20"/>
    <n v="5"/>
    <n v="25"/>
  </r>
  <r>
    <n v="3296"/>
    <s v="Estela Marques"/>
    <x v="1"/>
    <x v="64"/>
    <x v="1"/>
    <n v="5"/>
    <x v="0"/>
    <x v="1"/>
    <x v="1"/>
    <x v="1"/>
    <n v="0"/>
    <n v="0"/>
    <n v="5"/>
  </r>
  <r>
    <n v="3297"/>
    <s v="Fábio Nobre"/>
    <x v="0"/>
    <x v="65"/>
    <x v="0"/>
    <n v="15"/>
    <x v="2"/>
    <x v="0"/>
    <x v="0"/>
    <x v="0"/>
    <n v="20"/>
    <n v="7"/>
    <n v="58"/>
  </r>
  <r>
    <n v="3298"/>
    <s v="Gabriel Oliveira"/>
    <x v="2"/>
    <x v="66"/>
    <x v="1"/>
    <n v="10"/>
    <x v="1"/>
    <x v="1"/>
    <x v="1"/>
    <x v="0"/>
    <n v="20"/>
    <n v="10"/>
    <n v="20"/>
  </r>
  <r>
    <n v="3299"/>
    <s v="Helena Santos"/>
    <x v="1"/>
    <x v="67"/>
    <x v="0"/>
    <n v="5"/>
    <x v="2"/>
    <x v="1"/>
    <x v="1"/>
    <x v="1"/>
    <n v="0"/>
    <n v="1"/>
    <n v="4"/>
  </r>
  <r>
    <n v="3300"/>
    <s v="Ivan Carvalho"/>
    <x v="0"/>
    <x v="68"/>
    <x v="1"/>
    <n v="15"/>
    <x v="0"/>
    <x v="0"/>
    <x v="0"/>
    <x v="0"/>
    <n v="20"/>
    <n v="15"/>
    <n v="50"/>
  </r>
  <r>
    <n v="3301"/>
    <s v="Júlia Ferreira"/>
    <x v="2"/>
    <x v="69"/>
    <x v="0"/>
    <n v="10"/>
    <x v="0"/>
    <x v="1"/>
    <x v="1"/>
    <x v="0"/>
    <n v="20"/>
    <n v="5"/>
    <n v="25"/>
  </r>
  <r>
    <n v="3302"/>
    <s v="Karla Alves"/>
    <x v="1"/>
    <x v="70"/>
    <x v="1"/>
    <n v="5"/>
    <x v="1"/>
    <x v="1"/>
    <x v="1"/>
    <x v="1"/>
    <n v="0"/>
    <n v="0"/>
    <n v="5"/>
  </r>
  <r>
    <n v="3303"/>
    <s v="Lucas Mendes"/>
    <x v="0"/>
    <x v="71"/>
    <x v="0"/>
    <n v="15"/>
    <x v="2"/>
    <x v="0"/>
    <x v="0"/>
    <x v="0"/>
    <n v="20"/>
    <n v="20"/>
    <n v="45"/>
  </r>
  <r>
    <n v="3304"/>
    <s v="Mônica Gomes"/>
    <x v="2"/>
    <x v="72"/>
    <x v="1"/>
    <n v="10"/>
    <x v="2"/>
    <x v="1"/>
    <x v="1"/>
    <x v="0"/>
    <n v="20"/>
    <n v="12"/>
    <n v="18"/>
  </r>
  <r>
    <n v="3305"/>
    <s v="Norberto Queiroz"/>
    <x v="1"/>
    <x v="73"/>
    <x v="0"/>
    <n v="5"/>
    <x v="0"/>
    <x v="1"/>
    <x v="1"/>
    <x v="1"/>
    <n v="0"/>
    <n v="2"/>
    <n v="3"/>
  </r>
  <r>
    <n v="3306"/>
    <s v="Otávio Barros"/>
    <x v="0"/>
    <x v="74"/>
    <x v="1"/>
    <n v="15"/>
    <x v="1"/>
    <x v="0"/>
    <x v="0"/>
    <x v="0"/>
    <n v="20"/>
    <n v="5"/>
    <n v="60"/>
  </r>
  <r>
    <n v="3307"/>
    <s v="Paula Vieira"/>
    <x v="2"/>
    <x v="75"/>
    <x v="0"/>
    <n v="10"/>
    <x v="0"/>
    <x v="1"/>
    <x v="1"/>
    <x v="0"/>
    <n v="20"/>
    <n v="10"/>
    <n v="20"/>
  </r>
  <r>
    <n v="3308"/>
    <s v="Quentin Ramos"/>
    <x v="1"/>
    <x v="76"/>
    <x v="1"/>
    <n v="5"/>
    <x v="2"/>
    <x v="1"/>
    <x v="1"/>
    <x v="1"/>
    <n v="0"/>
    <n v="0"/>
    <n v="5"/>
  </r>
  <r>
    <n v="3309"/>
    <s v="Raquel Novaes"/>
    <x v="0"/>
    <x v="77"/>
    <x v="0"/>
    <n v="15"/>
    <x v="0"/>
    <x v="0"/>
    <x v="0"/>
    <x v="0"/>
    <n v="20"/>
    <n v="3"/>
    <n v="62"/>
  </r>
  <r>
    <n v="3310"/>
    <s v="Samantha Lopes"/>
    <x v="2"/>
    <x v="78"/>
    <x v="1"/>
    <n v="10"/>
    <x v="1"/>
    <x v="1"/>
    <x v="1"/>
    <x v="0"/>
    <n v="20"/>
    <n v="15"/>
    <n v="15"/>
  </r>
  <r>
    <n v="3311"/>
    <s v="Tiago Martins"/>
    <x v="1"/>
    <x v="79"/>
    <x v="0"/>
    <n v="5"/>
    <x v="0"/>
    <x v="1"/>
    <x v="1"/>
    <x v="1"/>
    <n v="0"/>
    <n v="1"/>
    <n v="4"/>
  </r>
  <r>
    <n v="3312"/>
    <s v="Ulysses Guimarães"/>
    <x v="0"/>
    <x v="80"/>
    <x v="1"/>
    <n v="15"/>
    <x v="2"/>
    <x v="0"/>
    <x v="0"/>
    <x v="0"/>
    <n v="20"/>
    <n v="7"/>
    <n v="58"/>
  </r>
  <r>
    <n v="3313"/>
    <s v="Vanessa Silva"/>
    <x v="2"/>
    <x v="81"/>
    <x v="0"/>
    <n v="10"/>
    <x v="0"/>
    <x v="1"/>
    <x v="1"/>
    <x v="0"/>
    <n v="20"/>
    <n v="10"/>
    <n v="20"/>
  </r>
  <r>
    <n v="3314"/>
    <s v="William Carneiro"/>
    <x v="1"/>
    <x v="82"/>
    <x v="1"/>
    <n v="5"/>
    <x v="1"/>
    <x v="1"/>
    <x v="1"/>
    <x v="1"/>
    <n v="0"/>
    <n v="0"/>
    <n v="5"/>
  </r>
  <r>
    <n v="3315"/>
    <s v="Ximena Rocha"/>
    <x v="0"/>
    <x v="83"/>
    <x v="0"/>
    <n v="15"/>
    <x v="0"/>
    <x v="0"/>
    <x v="0"/>
    <x v="0"/>
    <n v="20"/>
    <n v="20"/>
    <n v="45"/>
  </r>
  <r>
    <n v="3316"/>
    <s v="Yasmin Figueiredo"/>
    <x v="2"/>
    <x v="84"/>
    <x v="1"/>
    <n v="10"/>
    <x v="2"/>
    <x v="1"/>
    <x v="1"/>
    <x v="0"/>
    <n v="20"/>
    <n v="15"/>
    <n v="15"/>
  </r>
  <r>
    <n v="3317"/>
    <s v="Zara Cunha"/>
    <x v="1"/>
    <x v="85"/>
    <x v="0"/>
    <n v="5"/>
    <x v="0"/>
    <x v="1"/>
    <x v="1"/>
    <x v="1"/>
    <n v="0"/>
    <n v="1"/>
    <n v="4"/>
  </r>
  <r>
    <n v="3318"/>
    <s v="Alan Teixeira"/>
    <x v="0"/>
    <x v="86"/>
    <x v="1"/>
    <n v="15"/>
    <x v="1"/>
    <x v="0"/>
    <x v="0"/>
    <x v="0"/>
    <n v="20"/>
    <n v="3"/>
    <n v="62"/>
  </r>
  <r>
    <n v="3319"/>
    <s v="Bárbara Oliveira"/>
    <x v="2"/>
    <x v="87"/>
    <x v="0"/>
    <n v="10"/>
    <x v="0"/>
    <x v="1"/>
    <x v="1"/>
    <x v="0"/>
    <n v="20"/>
    <n v="10"/>
    <n v="20"/>
  </r>
  <r>
    <n v="3320"/>
    <s v="Carlos Junqueira"/>
    <x v="1"/>
    <x v="88"/>
    <x v="1"/>
    <n v="5"/>
    <x v="2"/>
    <x v="1"/>
    <x v="1"/>
    <x v="1"/>
    <n v="0"/>
    <n v="0"/>
    <n v="5"/>
  </r>
  <r>
    <n v="3321"/>
    <s v="Daniela Moura"/>
    <x v="0"/>
    <x v="89"/>
    <x v="0"/>
    <n v="15"/>
    <x v="0"/>
    <x v="0"/>
    <x v="0"/>
    <x v="0"/>
    <n v="20"/>
    <n v="5"/>
    <n v="60"/>
  </r>
  <r>
    <n v="3322"/>
    <s v="Eduardo Lima"/>
    <x v="2"/>
    <x v="90"/>
    <x v="1"/>
    <n v="10"/>
    <x v="1"/>
    <x v="1"/>
    <x v="1"/>
    <x v="0"/>
    <n v="20"/>
    <n v="15"/>
    <n v="15"/>
  </r>
  <r>
    <n v="3323"/>
    <s v="Fabiana Araújo"/>
    <x v="1"/>
    <x v="91"/>
    <x v="0"/>
    <n v="5"/>
    <x v="0"/>
    <x v="1"/>
    <x v="1"/>
    <x v="1"/>
    <n v="0"/>
    <n v="1"/>
    <n v="4"/>
  </r>
  <r>
    <n v="3324"/>
    <s v="Geraldo Ribeiro"/>
    <x v="0"/>
    <x v="92"/>
    <x v="1"/>
    <n v="15"/>
    <x v="2"/>
    <x v="0"/>
    <x v="0"/>
    <x v="0"/>
    <n v="20"/>
    <n v="20"/>
    <n v="45"/>
  </r>
  <r>
    <n v="3325"/>
    <s v="Héctor Vargas"/>
    <x v="2"/>
    <x v="93"/>
    <x v="0"/>
    <n v="10"/>
    <x v="2"/>
    <x v="1"/>
    <x v="1"/>
    <x v="0"/>
    <n v="20"/>
    <n v="15"/>
    <n v="15"/>
  </r>
  <r>
    <n v="3326"/>
    <s v="Isabela Fonseca"/>
    <x v="1"/>
    <x v="94"/>
    <x v="1"/>
    <n v="5"/>
    <x v="1"/>
    <x v="1"/>
    <x v="1"/>
    <x v="1"/>
    <n v="0"/>
    <n v="0"/>
    <n v="5"/>
  </r>
  <r>
    <n v="3327"/>
    <s v="João Pedro Almeida"/>
    <x v="0"/>
    <x v="95"/>
    <x v="0"/>
    <n v="15"/>
    <x v="0"/>
    <x v="0"/>
    <x v="0"/>
    <x v="0"/>
    <n v="20"/>
    <n v="7"/>
    <n v="58"/>
  </r>
  <r>
    <n v="3328"/>
    <s v="Klara Costa"/>
    <x v="2"/>
    <x v="96"/>
    <x v="1"/>
    <n v="10"/>
    <x v="1"/>
    <x v="1"/>
    <x v="1"/>
    <x v="0"/>
    <n v="20"/>
    <n v="10"/>
    <n v="20"/>
  </r>
  <r>
    <n v="3329"/>
    <s v="Luciana Mendes"/>
    <x v="1"/>
    <x v="97"/>
    <x v="0"/>
    <n v="5"/>
    <x v="2"/>
    <x v="1"/>
    <x v="1"/>
    <x v="1"/>
    <n v="0"/>
    <n v="1"/>
    <n v="4"/>
  </r>
  <r>
    <n v="3330"/>
    <s v="Marcelo Gouveia"/>
    <x v="0"/>
    <x v="98"/>
    <x v="1"/>
    <n v="15"/>
    <x v="0"/>
    <x v="0"/>
    <x v="0"/>
    <x v="0"/>
    <n v="20"/>
    <n v="15"/>
    <n v="50"/>
  </r>
  <r>
    <n v="3331"/>
    <s v="Nívea Borges"/>
    <x v="2"/>
    <x v="99"/>
    <x v="0"/>
    <n v="10"/>
    <x v="0"/>
    <x v="1"/>
    <x v="1"/>
    <x v="0"/>
    <n v="20"/>
    <n v="5"/>
    <n v="25"/>
  </r>
  <r>
    <n v="3332"/>
    <s v="Oscar Nogueira"/>
    <x v="1"/>
    <x v="100"/>
    <x v="1"/>
    <n v="5"/>
    <x v="1"/>
    <x v="1"/>
    <x v="1"/>
    <x v="1"/>
    <n v="0"/>
    <n v="0"/>
    <n v="5"/>
  </r>
  <r>
    <n v="3333"/>
    <s v="Patrícia Alves"/>
    <x v="0"/>
    <x v="101"/>
    <x v="0"/>
    <n v="15"/>
    <x v="2"/>
    <x v="0"/>
    <x v="0"/>
    <x v="0"/>
    <n v="20"/>
    <n v="20"/>
    <n v="45"/>
  </r>
  <r>
    <n v="3334"/>
    <s v="Rafaela Silva"/>
    <x v="2"/>
    <x v="102"/>
    <x v="1"/>
    <n v="10"/>
    <x v="2"/>
    <x v="1"/>
    <x v="1"/>
    <x v="0"/>
    <n v="20"/>
    <n v="12"/>
    <n v="18"/>
  </r>
  <r>
    <n v="3335"/>
    <s v="Samantha Moraes"/>
    <x v="1"/>
    <x v="103"/>
    <x v="0"/>
    <n v="5"/>
    <x v="0"/>
    <x v="1"/>
    <x v="1"/>
    <x v="1"/>
    <n v="0"/>
    <n v="2"/>
    <n v="3"/>
  </r>
  <r>
    <n v="3336"/>
    <s v="Tatiana Rocha"/>
    <x v="1"/>
    <x v="104"/>
    <x v="0"/>
    <n v="5"/>
    <x v="0"/>
    <x v="1"/>
    <x v="1"/>
    <x v="1"/>
    <n v="0"/>
    <n v="0"/>
    <n v="5"/>
  </r>
  <r>
    <n v="3337"/>
    <s v="Ulisses Tavares"/>
    <x v="0"/>
    <x v="105"/>
    <x v="1"/>
    <n v="15"/>
    <x v="2"/>
    <x v="0"/>
    <x v="0"/>
    <x v="0"/>
    <n v="20"/>
    <n v="7"/>
    <n v="58"/>
  </r>
  <r>
    <n v="3338"/>
    <s v="Víctor Lemos"/>
    <x v="2"/>
    <x v="106"/>
    <x v="0"/>
    <n v="10"/>
    <x v="1"/>
    <x v="1"/>
    <x v="1"/>
    <x v="0"/>
    <n v="20"/>
    <n v="10"/>
    <n v="20"/>
  </r>
  <r>
    <n v="3339"/>
    <s v="Wilma Barros"/>
    <x v="1"/>
    <x v="107"/>
    <x v="1"/>
    <n v="5"/>
    <x v="2"/>
    <x v="1"/>
    <x v="1"/>
    <x v="1"/>
    <n v="0"/>
    <n v="1"/>
    <n v="4"/>
  </r>
  <r>
    <n v="3340"/>
    <s v="Xavier Nascimento"/>
    <x v="0"/>
    <x v="108"/>
    <x v="0"/>
    <n v="15"/>
    <x v="0"/>
    <x v="0"/>
    <x v="0"/>
    <x v="0"/>
    <n v="20"/>
    <n v="15"/>
    <n v="50"/>
  </r>
  <r>
    <n v="3341"/>
    <s v="Yago Pereira"/>
    <x v="2"/>
    <x v="109"/>
    <x v="1"/>
    <n v="10"/>
    <x v="0"/>
    <x v="1"/>
    <x v="1"/>
    <x v="0"/>
    <n v="20"/>
    <n v="5"/>
    <n v="25"/>
  </r>
  <r>
    <n v="3342"/>
    <s v="Zilda Ferreira"/>
    <x v="1"/>
    <x v="110"/>
    <x v="0"/>
    <n v="5"/>
    <x v="1"/>
    <x v="1"/>
    <x v="1"/>
    <x v="1"/>
    <n v="0"/>
    <n v="0"/>
    <n v="5"/>
  </r>
  <r>
    <n v="3343"/>
    <s v="Amanda Lopes"/>
    <x v="0"/>
    <x v="111"/>
    <x v="1"/>
    <n v="15"/>
    <x v="2"/>
    <x v="0"/>
    <x v="0"/>
    <x v="0"/>
    <n v="20"/>
    <n v="20"/>
    <n v="45"/>
  </r>
  <r>
    <n v="3344"/>
    <s v="Bruno Miranda"/>
    <x v="2"/>
    <x v="112"/>
    <x v="0"/>
    <n v="10"/>
    <x v="2"/>
    <x v="1"/>
    <x v="1"/>
    <x v="0"/>
    <n v="20"/>
    <n v="12"/>
    <n v="18"/>
  </r>
  <r>
    <n v="3345"/>
    <s v="Célia Torres"/>
    <x v="1"/>
    <x v="113"/>
    <x v="1"/>
    <n v="5"/>
    <x v="0"/>
    <x v="1"/>
    <x v="1"/>
    <x v="1"/>
    <n v="0"/>
    <n v="2"/>
    <n v="3"/>
  </r>
  <r>
    <n v="3346"/>
    <s v="Diogo Souza"/>
    <x v="0"/>
    <x v="114"/>
    <x v="0"/>
    <n v="15"/>
    <x v="1"/>
    <x v="0"/>
    <x v="0"/>
    <x v="0"/>
    <n v="20"/>
    <n v="5"/>
    <n v="60"/>
  </r>
  <r>
    <n v="3347"/>
    <s v="Elisa Castro"/>
    <x v="2"/>
    <x v="115"/>
    <x v="1"/>
    <n v="10"/>
    <x v="0"/>
    <x v="1"/>
    <x v="1"/>
    <x v="0"/>
    <n v="20"/>
    <n v="10"/>
    <n v="20"/>
  </r>
  <r>
    <n v="3348"/>
    <s v="Fátima Lima"/>
    <x v="1"/>
    <x v="116"/>
    <x v="0"/>
    <n v="5"/>
    <x v="2"/>
    <x v="1"/>
    <x v="1"/>
    <x v="1"/>
    <n v="0"/>
    <n v="0"/>
    <n v="5"/>
  </r>
  <r>
    <n v="3349"/>
    <s v="Geraldo Ribeiro"/>
    <x v="0"/>
    <x v="117"/>
    <x v="1"/>
    <n v="15"/>
    <x v="0"/>
    <x v="0"/>
    <x v="0"/>
    <x v="0"/>
    <n v="20"/>
    <n v="3"/>
    <n v="62"/>
  </r>
  <r>
    <n v="3350"/>
    <s v="Hélio Martins"/>
    <x v="2"/>
    <x v="118"/>
    <x v="0"/>
    <n v="10"/>
    <x v="1"/>
    <x v="1"/>
    <x v="1"/>
    <x v="0"/>
    <n v="20"/>
    <n v="15"/>
    <n v="15"/>
  </r>
  <r>
    <n v="3351"/>
    <s v="Íris Santos"/>
    <x v="1"/>
    <x v="119"/>
    <x v="1"/>
    <n v="5"/>
    <x v="0"/>
    <x v="1"/>
    <x v="1"/>
    <x v="1"/>
    <n v="0"/>
    <n v="1"/>
    <n v="4"/>
  </r>
  <r>
    <n v="3352"/>
    <s v="João Marcelo"/>
    <x v="0"/>
    <x v="120"/>
    <x v="0"/>
    <n v="15"/>
    <x v="2"/>
    <x v="0"/>
    <x v="0"/>
    <x v="0"/>
    <n v="20"/>
    <n v="7"/>
    <n v="58"/>
  </r>
  <r>
    <n v="3353"/>
    <s v="Larissa Gomes"/>
    <x v="2"/>
    <x v="121"/>
    <x v="1"/>
    <n v="10"/>
    <x v="0"/>
    <x v="1"/>
    <x v="1"/>
    <x v="0"/>
    <n v="20"/>
    <n v="10"/>
    <n v="20"/>
  </r>
  <r>
    <n v="3354"/>
    <s v="Márcio Silva"/>
    <x v="1"/>
    <x v="122"/>
    <x v="0"/>
    <n v="5"/>
    <x v="1"/>
    <x v="1"/>
    <x v="1"/>
    <x v="1"/>
    <n v="0"/>
    <n v="0"/>
    <n v="5"/>
  </r>
  <r>
    <n v="3355"/>
    <s v="Nadia Costa"/>
    <x v="0"/>
    <x v="123"/>
    <x v="1"/>
    <n v="15"/>
    <x v="0"/>
    <x v="0"/>
    <x v="0"/>
    <x v="0"/>
    <n v="20"/>
    <n v="20"/>
    <n v="45"/>
  </r>
  <r>
    <n v="3356"/>
    <s v="Oscar Almeida"/>
    <x v="2"/>
    <x v="124"/>
    <x v="0"/>
    <n v="10"/>
    <x v="2"/>
    <x v="1"/>
    <x v="1"/>
    <x v="0"/>
    <n v="20"/>
    <n v="15"/>
    <n v="15"/>
  </r>
  <r>
    <n v="3357"/>
    <s v="Patricia Soares"/>
    <x v="1"/>
    <x v="125"/>
    <x v="1"/>
    <n v="5"/>
    <x v="0"/>
    <x v="1"/>
    <x v="1"/>
    <x v="1"/>
    <n v="0"/>
    <n v="1"/>
    <n v="4"/>
  </r>
  <r>
    <n v="3358"/>
    <s v="Quênia Barros"/>
    <x v="0"/>
    <x v="126"/>
    <x v="0"/>
    <n v="15"/>
    <x v="1"/>
    <x v="0"/>
    <x v="0"/>
    <x v="0"/>
    <n v="20"/>
    <n v="3"/>
    <n v="62"/>
  </r>
  <r>
    <n v="3359"/>
    <s v="Rafael Torres"/>
    <x v="2"/>
    <x v="127"/>
    <x v="1"/>
    <n v="10"/>
    <x v="0"/>
    <x v="1"/>
    <x v="1"/>
    <x v="0"/>
    <n v="20"/>
    <n v="10"/>
    <n v="20"/>
  </r>
  <r>
    <n v="3360"/>
    <s v="Silvia Nascimento"/>
    <x v="1"/>
    <x v="128"/>
    <x v="0"/>
    <n v="5"/>
    <x v="2"/>
    <x v="1"/>
    <x v="1"/>
    <x v="1"/>
    <n v="0"/>
    <n v="0"/>
    <n v="5"/>
  </r>
  <r>
    <n v="3361"/>
    <s v="Tiago Mendes"/>
    <x v="0"/>
    <x v="129"/>
    <x v="1"/>
    <n v="15"/>
    <x v="0"/>
    <x v="0"/>
    <x v="0"/>
    <x v="0"/>
    <n v="20"/>
    <n v="15"/>
    <n v="50"/>
  </r>
  <r>
    <n v="3362"/>
    <s v="Ursula Silva"/>
    <x v="2"/>
    <x v="130"/>
    <x v="0"/>
    <n v="10"/>
    <x v="1"/>
    <x v="1"/>
    <x v="1"/>
    <x v="0"/>
    <n v="20"/>
    <n v="15"/>
    <n v="15"/>
  </r>
  <r>
    <n v="3363"/>
    <s v="Vanessa Moraes"/>
    <x v="1"/>
    <x v="131"/>
    <x v="1"/>
    <n v="5"/>
    <x v="0"/>
    <x v="1"/>
    <x v="1"/>
    <x v="1"/>
    <n v="0"/>
    <n v="1"/>
    <n v="4"/>
  </r>
  <r>
    <n v="3364"/>
    <s v="Waldir Junior"/>
    <x v="0"/>
    <x v="132"/>
    <x v="0"/>
    <n v="15"/>
    <x v="2"/>
    <x v="0"/>
    <x v="0"/>
    <x v="0"/>
    <n v="20"/>
    <n v="7"/>
    <n v="58"/>
  </r>
  <r>
    <n v="3365"/>
    <s v="Xavier Lopes"/>
    <x v="2"/>
    <x v="133"/>
    <x v="1"/>
    <n v="10"/>
    <x v="0"/>
    <x v="1"/>
    <x v="1"/>
    <x v="0"/>
    <n v="20"/>
    <n v="10"/>
    <n v="20"/>
  </r>
  <r>
    <n v="3366"/>
    <s v="Yolanda Freitas"/>
    <x v="1"/>
    <x v="134"/>
    <x v="0"/>
    <n v="5"/>
    <x v="0"/>
    <x v="1"/>
    <x v="1"/>
    <x v="1"/>
    <n v="0"/>
    <n v="0"/>
    <n v="5"/>
  </r>
  <r>
    <n v="3367"/>
    <s v="Zacarias Nunes"/>
    <x v="0"/>
    <x v="135"/>
    <x v="1"/>
    <n v="15"/>
    <x v="2"/>
    <x v="0"/>
    <x v="0"/>
    <x v="0"/>
    <n v="20"/>
    <n v="7"/>
    <n v="58"/>
  </r>
  <r>
    <n v="3368"/>
    <s v="Ana Clara Barreto"/>
    <x v="2"/>
    <x v="136"/>
    <x v="0"/>
    <n v="10"/>
    <x v="1"/>
    <x v="1"/>
    <x v="1"/>
    <x v="0"/>
    <n v="20"/>
    <n v="10"/>
    <n v="20"/>
  </r>
  <r>
    <n v="3369"/>
    <s v="Bruno Henrique"/>
    <x v="1"/>
    <x v="137"/>
    <x v="1"/>
    <n v="5"/>
    <x v="2"/>
    <x v="1"/>
    <x v="1"/>
    <x v="1"/>
    <n v="0"/>
    <n v="1"/>
    <n v="4"/>
  </r>
  <r>
    <n v="3370"/>
    <s v="Carlos Eduardo"/>
    <x v="0"/>
    <x v="138"/>
    <x v="0"/>
    <n v="15"/>
    <x v="0"/>
    <x v="0"/>
    <x v="0"/>
    <x v="0"/>
    <n v="20"/>
    <n v="15"/>
    <n v="50"/>
  </r>
  <r>
    <n v="3371"/>
    <s v="Débora Lima"/>
    <x v="2"/>
    <x v="139"/>
    <x v="1"/>
    <n v="10"/>
    <x v="0"/>
    <x v="1"/>
    <x v="1"/>
    <x v="0"/>
    <n v="20"/>
    <n v="5"/>
    <n v="25"/>
  </r>
  <r>
    <n v="3372"/>
    <s v="Elisa Neves"/>
    <x v="1"/>
    <x v="140"/>
    <x v="0"/>
    <n v="5"/>
    <x v="1"/>
    <x v="1"/>
    <x v="1"/>
    <x v="1"/>
    <n v="0"/>
    <n v="0"/>
    <n v="5"/>
  </r>
  <r>
    <n v="3373"/>
    <s v="Fabiano Gomes"/>
    <x v="0"/>
    <x v="141"/>
    <x v="1"/>
    <n v="15"/>
    <x v="2"/>
    <x v="0"/>
    <x v="0"/>
    <x v="0"/>
    <n v="20"/>
    <n v="20"/>
    <n v="45"/>
  </r>
  <r>
    <n v="3374"/>
    <s v="Gisele Oliveira"/>
    <x v="2"/>
    <x v="142"/>
    <x v="0"/>
    <n v="10"/>
    <x v="2"/>
    <x v="1"/>
    <x v="1"/>
    <x v="0"/>
    <n v="20"/>
    <n v="12"/>
    <n v="18"/>
  </r>
  <r>
    <n v="3375"/>
    <s v="Héctor Silva"/>
    <x v="1"/>
    <x v="143"/>
    <x v="1"/>
    <n v="5"/>
    <x v="0"/>
    <x v="1"/>
    <x v="1"/>
    <x v="1"/>
    <n v="0"/>
    <n v="2"/>
    <n v="3"/>
  </r>
  <r>
    <n v="3376"/>
    <s v="Igor Martins"/>
    <x v="0"/>
    <x v="144"/>
    <x v="0"/>
    <n v="15"/>
    <x v="1"/>
    <x v="0"/>
    <x v="0"/>
    <x v="0"/>
    <n v="20"/>
    <n v="5"/>
    <n v="60"/>
  </r>
  <r>
    <n v="3377"/>
    <s v="Joana Figueiredo"/>
    <x v="2"/>
    <x v="145"/>
    <x v="1"/>
    <n v="10"/>
    <x v="0"/>
    <x v="1"/>
    <x v="1"/>
    <x v="0"/>
    <n v="20"/>
    <n v="10"/>
    <n v="20"/>
  </r>
  <r>
    <n v="3378"/>
    <s v="Kleber Machado"/>
    <x v="1"/>
    <x v="146"/>
    <x v="0"/>
    <n v="5"/>
    <x v="2"/>
    <x v="1"/>
    <x v="1"/>
    <x v="1"/>
    <n v="0"/>
    <n v="0"/>
    <n v="5"/>
  </r>
  <r>
    <n v="3379"/>
    <s v="Luciana Santos"/>
    <x v="0"/>
    <x v="147"/>
    <x v="1"/>
    <n v="15"/>
    <x v="0"/>
    <x v="0"/>
    <x v="0"/>
    <x v="0"/>
    <n v="20"/>
    <n v="3"/>
    <n v="62"/>
  </r>
  <r>
    <n v="3380"/>
    <s v="Marcos Teixeira"/>
    <x v="2"/>
    <x v="148"/>
    <x v="0"/>
    <n v="10"/>
    <x v="1"/>
    <x v="1"/>
    <x v="1"/>
    <x v="0"/>
    <n v="20"/>
    <n v="15"/>
    <n v="15"/>
  </r>
  <r>
    <n v="3381"/>
    <s v="Natalia Costa"/>
    <x v="1"/>
    <x v="149"/>
    <x v="1"/>
    <n v="5"/>
    <x v="0"/>
    <x v="1"/>
    <x v="1"/>
    <x v="1"/>
    <n v="0"/>
    <n v="1"/>
    <n v="4"/>
  </r>
  <r>
    <n v="3382"/>
    <s v="Oscar Ribeiro"/>
    <x v="0"/>
    <x v="150"/>
    <x v="0"/>
    <n v="15"/>
    <x v="2"/>
    <x v="0"/>
    <x v="0"/>
    <x v="0"/>
    <n v="20"/>
    <n v="7"/>
    <n v="58"/>
  </r>
  <r>
    <n v="3383"/>
    <s v="Patricia Almeida"/>
    <x v="2"/>
    <x v="151"/>
    <x v="1"/>
    <n v="10"/>
    <x v="0"/>
    <x v="1"/>
    <x v="1"/>
    <x v="0"/>
    <n v="20"/>
    <n v="10"/>
    <n v="20"/>
  </r>
  <r>
    <n v="3384"/>
    <s v="Quirino Junior"/>
    <x v="1"/>
    <x v="152"/>
    <x v="0"/>
    <n v="5"/>
    <x v="1"/>
    <x v="1"/>
    <x v="1"/>
    <x v="1"/>
    <n v="0"/>
    <n v="0"/>
    <n v="5"/>
  </r>
  <r>
    <n v="3385"/>
    <s v="Renata Machado"/>
    <x v="0"/>
    <x v="153"/>
    <x v="1"/>
    <n v="15"/>
    <x v="0"/>
    <x v="0"/>
    <x v="0"/>
    <x v="0"/>
    <n v="20"/>
    <n v="20"/>
    <n v="45"/>
  </r>
  <r>
    <n v="3386"/>
    <s v="Sônia Alves"/>
    <x v="2"/>
    <x v="154"/>
    <x v="0"/>
    <n v="10"/>
    <x v="2"/>
    <x v="1"/>
    <x v="1"/>
    <x v="0"/>
    <n v="20"/>
    <n v="15"/>
    <n v="15"/>
  </r>
  <r>
    <n v="3387"/>
    <s v="Tiago Nunes"/>
    <x v="1"/>
    <x v="155"/>
    <x v="1"/>
    <n v="5"/>
    <x v="0"/>
    <x v="1"/>
    <x v="1"/>
    <x v="1"/>
    <n v="0"/>
    <n v="1"/>
    <n v="4"/>
  </r>
  <r>
    <n v="3388"/>
    <s v="Ulysses Pereira"/>
    <x v="0"/>
    <x v="156"/>
    <x v="0"/>
    <n v="15"/>
    <x v="1"/>
    <x v="0"/>
    <x v="0"/>
    <x v="0"/>
    <n v="20"/>
    <n v="3"/>
    <n v="62"/>
  </r>
  <r>
    <n v="3389"/>
    <s v="Vanessa Lima"/>
    <x v="2"/>
    <x v="157"/>
    <x v="1"/>
    <n v="10"/>
    <x v="0"/>
    <x v="1"/>
    <x v="1"/>
    <x v="0"/>
    <n v="20"/>
    <n v="10"/>
    <n v="20"/>
  </r>
  <r>
    <n v="3390"/>
    <s v="Wagner Santos"/>
    <x v="1"/>
    <x v="158"/>
    <x v="0"/>
    <n v="5"/>
    <x v="2"/>
    <x v="1"/>
    <x v="1"/>
    <x v="1"/>
    <n v="0"/>
    <n v="0"/>
    <n v="5"/>
  </r>
  <r>
    <n v="3391"/>
    <s v="Xuxa Meneghel"/>
    <x v="0"/>
    <x v="159"/>
    <x v="1"/>
    <n v="15"/>
    <x v="0"/>
    <x v="0"/>
    <x v="0"/>
    <x v="0"/>
    <n v="20"/>
    <n v="15"/>
    <n v="50"/>
  </r>
  <r>
    <n v="3392"/>
    <s v="Yasmin Silva"/>
    <x v="2"/>
    <x v="160"/>
    <x v="0"/>
    <n v="10"/>
    <x v="1"/>
    <x v="1"/>
    <x v="1"/>
    <x v="0"/>
    <n v="20"/>
    <n v="15"/>
    <n v="15"/>
  </r>
  <r>
    <n v="3393"/>
    <s v="Zacarias de Souza"/>
    <x v="1"/>
    <x v="161"/>
    <x v="1"/>
    <n v="5"/>
    <x v="0"/>
    <x v="1"/>
    <x v="1"/>
    <x v="1"/>
    <n v="0"/>
    <n v="1"/>
    <n v="4"/>
  </r>
  <r>
    <n v="3394"/>
    <s v="André Lima"/>
    <x v="0"/>
    <x v="162"/>
    <x v="0"/>
    <n v="15"/>
    <x v="2"/>
    <x v="0"/>
    <x v="0"/>
    <x v="0"/>
    <n v="20"/>
    <n v="7"/>
    <n v="58"/>
  </r>
  <r>
    <n v="3395"/>
    <s v="Bianca Freitas"/>
    <x v="2"/>
    <x v="163"/>
    <x v="1"/>
    <n v="10"/>
    <x v="0"/>
    <x v="1"/>
    <x v="1"/>
    <x v="0"/>
    <n v="20"/>
    <n v="10"/>
    <n v="20"/>
  </r>
  <r>
    <n v="3396"/>
    <s v="Caio Mendes"/>
    <x v="1"/>
    <x v="164"/>
    <x v="0"/>
    <n v="5"/>
    <x v="1"/>
    <x v="1"/>
    <x v="1"/>
    <x v="1"/>
    <n v="0"/>
    <n v="0"/>
    <n v="5"/>
  </r>
  <r>
    <n v="3397"/>
    <s v="Daniela Moura"/>
    <x v="0"/>
    <x v="165"/>
    <x v="1"/>
    <n v="15"/>
    <x v="0"/>
    <x v="0"/>
    <x v="0"/>
    <x v="0"/>
    <n v="20"/>
    <n v="20"/>
    <n v="45"/>
  </r>
  <r>
    <n v="3398"/>
    <s v="Eduardo Costa"/>
    <x v="2"/>
    <x v="166"/>
    <x v="0"/>
    <n v="10"/>
    <x v="2"/>
    <x v="1"/>
    <x v="1"/>
    <x v="0"/>
    <n v="20"/>
    <n v="15"/>
    <n v="15"/>
  </r>
  <r>
    <n v="3399"/>
    <s v="Fernanda Gomes"/>
    <x v="1"/>
    <x v="167"/>
    <x v="1"/>
    <n v="5"/>
    <x v="0"/>
    <x v="1"/>
    <x v="1"/>
    <x v="1"/>
    <n v="0"/>
    <n v="1"/>
    <n v="4"/>
  </r>
  <r>
    <n v="3400"/>
    <s v="Guilherme Souza"/>
    <x v="0"/>
    <x v="168"/>
    <x v="0"/>
    <n v="15"/>
    <x v="1"/>
    <x v="0"/>
    <x v="0"/>
    <x v="0"/>
    <n v="20"/>
    <n v="5"/>
    <n v="60"/>
  </r>
  <r>
    <n v="3401"/>
    <s v="Helena Ribeiro"/>
    <x v="2"/>
    <x v="169"/>
    <x v="1"/>
    <n v="10"/>
    <x v="0"/>
    <x v="1"/>
    <x v="1"/>
    <x v="0"/>
    <n v="20"/>
    <n v="10"/>
    <n v="20"/>
  </r>
  <r>
    <n v="3402"/>
    <s v="Igor Santos"/>
    <x v="1"/>
    <x v="170"/>
    <x v="0"/>
    <n v="5"/>
    <x v="2"/>
    <x v="1"/>
    <x v="1"/>
    <x v="1"/>
    <n v="0"/>
    <n v="0"/>
    <n v="5"/>
  </r>
  <r>
    <n v="3403"/>
    <s v="João Carvalho"/>
    <x v="0"/>
    <x v="171"/>
    <x v="1"/>
    <n v="15"/>
    <x v="0"/>
    <x v="0"/>
    <x v="0"/>
    <x v="0"/>
    <n v="20"/>
    <n v="3"/>
    <n v="62"/>
  </r>
  <r>
    <n v="3404"/>
    <s v="Klara Fagundes"/>
    <x v="2"/>
    <x v="172"/>
    <x v="0"/>
    <n v="10"/>
    <x v="1"/>
    <x v="1"/>
    <x v="1"/>
    <x v="0"/>
    <n v="20"/>
    <n v="15"/>
    <n v="15"/>
  </r>
  <r>
    <n v="3405"/>
    <s v="Lúcia Mendonça"/>
    <x v="1"/>
    <x v="173"/>
    <x v="1"/>
    <n v="5"/>
    <x v="0"/>
    <x v="1"/>
    <x v="1"/>
    <x v="1"/>
    <n v="0"/>
    <n v="1"/>
    <n v="4"/>
  </r>
  <r>
    <n v="3406"/>
    <s v="Marcelo Novaes"/>
    <x v="1"/>
    <x v="174"/>
    <x v="0"/>
    <n v="5"/>
    <x v="0"/>
    <x v="1"/>
    <x v="1"/>
    <x v="1"/>
    <n v="0"/>
    <n v="0"/>
    <n v="5"/>
  </r>
  <r>
    <n v="3407"/>
    <s v="Nina Pacheco"/>
    <x v="0"/>
    <x v="175"/>
    <x v="1"/>
    <n v="15"/>
    <x v="2"/>
    <x v="0"/>
    <x v="0"/>
    <x v="0"/>
    <n v="20"/>
    <n v="7"/>
    <n v="58"/>
  </r>
  <r>
    <n v="3408"/>
    <s v="Olívia Rios"/>
    <x v="2"/>
    <x v="176"/>
    <x v="0"/>
    <n v="10"/>
    <x v="1"/>
    <x v="1"/>
    <x v="1"/>
    <x v="0"/>
    <n v="20"/>
    <n v="10"/>
    <n v="20"/>
  </r>
  <r>
    <n v="3409"/>
    <s v="Paulo Quintana"/>
    <x v="1"/>
    <x v="177"/>
    <x v="1"/>
    <n v="5"/>
    <x v="2"/>
    <x v="1"/>
    <x v="1"/>
    <x v="1"/>
    <n v="0"/>
    <n v="1"/>
    <n v="4"/>
  </r>
  <r>
    <n v="3410"/>
    <s v="Raquel Domingos"/>
    <x v="0"/>
    <x v="178"/>
    <x v="0"/>
    <n v="15"/>
    <x v="0"/>
    <x v="0"/>
    <x v="0"/>
    <x v="0"/>
    <n v="20"/>
    <n v="15"/>
    <n v="50"/>
  </r>
  <r>
    <n v="3411"/>
    <s v="Samuel Viana"/>
    <x v="2"/>
    <x v="179"/>
    <x v="1"/>
    <n v="10"/>
    <x v="0"/>
    <x v="1"/>
    <x v="1"/>
    <x v="0"/>
    <n v="20"/>
    <n v="5"/>
    <n v="25"/>
  </r>
  <r>
    <n v="3412"/>
    <s v="Tatiane Rocha"/>
    <x v="1"/>
    <x v="180"/>
    <x v="0"/>
    <n v="5"/>
    <x v="1"/>
    <x v="1"/>
    <x v="1"/>
    <x v="1"/>
    <n v="0"/>
    <n v="0"/>
    <n v="5"/>
  </r>
  <r>
    <n v="3413"/>
    <s v="Ulysses Farias"/>
    <x v="0"/>
    <x v="181"/>
    <x v="1"/>
    <n v="15"/>
    <x v="2"/>
    <x v="0"/>
    <x v="0"/>
    <x v="0"/>
    <n v="20"/>
    <n v="20"/>
    <n v="45"/>
  </r>
  <r>
    <n v="3414"/>
    <s v="Vanessa Moreira"/>
    <x v="2"/>
    <x v="182"/>
    <x v="0"/>
    <n v="10"/>
    <x v="2"/>
    <x v="1"/>
    <x v="1"/>
    <x v="0"/>
    <n v="20"/>
    <n v="12"/>
    <n v="18"/>
  </r>
  <r>
    <n v="3415"/>
    <s v="William Carvalho"/>
    <x v="1"/>
    <x v="183"/>
    <x v="1"/>
    <n v="5"/>
    <x v="0"/>
    <x v="1"/>
    <x v="1"/>
    <x v="1"/>
    <n v="0"/>
    <n v="2"/>
    <n v="3"/>
  </r>
  <r>
    <n v="3416"/>
    <s v="Ximena Barros"/>
    <x v="0"/>
    <x v="184"/>
    <x v="0"/>
    <n v="15"/>
    <x v="1"/>
    <x v="0"/>
    <x v="0"/>
    <x v="0"/>
    <n v="20"/>
    <n v="5"/>
    <n v="60"/>
  </r>
  <r>
    <n v="3417"/>
    <s v="Yara Machado"/>
    <x v="2"/>
    <x v="185"/>
    <x v="1"/>
    <n v="10"/>
    <x v="0"/>
    <x v="1"/>
    <x v="1"/>
    <x v="0"/>
    <n v="20"/>
    <n v="10"/>
    <n v="20"/>
  </r>
  <r>
    <n v="3418"/>
    <s v="Zacarias Costa"/>
    <x v="1"/>
    <x v="186"/>
    <x v="0"/>
    <n v="5"/>
    <x v="2"/>
    <x v="1"/>
    <x v="1"/>
    <x v="1"/>
    <n v="0"/>
    <n v="0"/>
    <n v="5"/>
  </r>
  <r>
    <n v="3419"/>
    <s v="André Lopes"/>
    <x v="0"/>
    <x v="187"/>
    <x v="1"/>
    <n v="15"/>
    <x v="0"/>
    <x v="0"/>
    <x v="0"/>
    <x v="0"/>
    <n v="20"/>
    <n v="3"/>
    <n v="62"/>
  </r>
  <r>
    <n v="3420"/>
    <s v="Beatriz Souza"/>
    <x v="2"/>
    <x v="188"/>
    <x v="0"/>
    <n v="10"/>
    <x v="1"/>
    <x v="1"/>
    <x v="1"/>
    <x v="0"/>
    <n v="20"/>
    <n v="15"/>
    <n v="15"/>
  </r>
  <r>
    <n v="3421"/>
    <s v="Caio Pereira"/>
    <x v="1"/>
    <x v="189"/>
    <x v="1"/>
    <n v="5"/>
    <x v="0"/>
    <x v="1"/>
    <x v="1"/>
    <x v="1"/>
    <n v="0"/>
    <n v="1"/>
    <n v="4"/>
  </r>
  <r>
    <n v="3422"/>
    <s v="Daniela Araújo"/>
    <x v="0"/>
    <x v="190"/>
    <x v="0"/>
    <n v="15"/>
    <x v="2"/>
    <x v="0"/>
    <x v="0"/>
    <x v="0"/>
    <n v="20"/>
    <n v="7"/>
    <n v="58"/>
  </r>
  <r>
    <n v="3423"/>
    <s v="Eduardo Santos"/>
    <x v="2"/>
    <x v="191"/>
    <x v="1"/>
    <n v="10"/>
    <x v="0"/>
    <x v="1"/>
    <x v="1"/>
    <x v="0"/>
    <n v="20"/>
    <n v="10"/>
    <n v="20"/>
  </r>
  <r>
    <n v="3424"/>
    <s v="Fernanda Lima"/>
    <x v="1"/>
    <x v="192"/>
    <x v="0"/>
    <n v="5"/>
    <x v="1"/>
    <x v="1"/>
    <x v="1"/>
    <x v="1"/>
    <n v="0"/>
    <n v="0"/>
    <n v="5"/>
  </r>
  <r>
    <n v="3425"/>
    <s v="Gabriel Teixeira"/>
    <x v="0"/>
    <x v="193"/>
    <x v="1"/>
    <n v="15"/>
    <x v="0"/>
    <x v="0"/>
    <x v="0"/>
    <x v="0"/>
    <n v="20"/>
    <n v="20"/>
    <n v="45"/>
  </r>
  <r>
    <n v="3426"/>
    <s v="Helena Ribeiro"/>
    <x v="2"/>
    <x v="194"/>
    <x v="0"/>
    <n v="10"/>
    <x v="2"/>
    <x v="1"/>
    <x v="1"/>
    <x v="0"/>
    <n v="20"/>
    <n v="15"/>
    <n v="15"/>
  </r>
  <r>
    <n v="3427"/>
    <s v="Igor Mendes"/>
    <x v="1"/>
    <x v="195"/>
    <x v="1"/>
    <n v="5"/>
    <x v="0"/>
    <x v="1"/>
    <x v="1"/>
    <x v="1"/>
    <n v="0"/>
    <n v="1"/>
    <n v="4"/>
  </r>
  <r>
    <n v="3428"/>
    <s v="Joana Silveira"/>
    <x v="0"/>
    <x v="196"/>
    <x v="0"/>
    <n v="15"/>
    <x v="1"/>
    <x v="0"/>
    <x v="0"/>
    <x v="0"/>
    <n v="20"/>
    <n v="3"/>
    <n v="62"/>
  </r>
  <r>
    <n v="3429"/>
    <s v="Lucas Martins"/>
    <x v="2"/>
    <x v="197"/>
    <x v="1"/>
    <n v="10"/>
    <x v="0"/>
    <x v="1"/>
    <x v="1"/>
    <x v="0"/>
    <n v="20"/>
    <n v="10"/>
    <n v="20"/>
  </r>
  <r>
    <n v="3430"/>
    <s v="Marcela Gouveia"/>
    <x v="1"/>
    <x v="198"/>
    <x v="0"/>
    <n v="5"/>
    <x v="2"/>
    <x v="1"/>
    <x v="1"/>
    <x v="1"/>
    <n v="0"/>
    <n v="0"/>
    <n v="5"/>
  </r>
  <r>
    <n v="3431"/>
    <s v="Nicolas Borges"/>
    <x v="0"/>
    <x v="199"/>
    <x v="1"/>
    <n v="15"/>
    <x v="0"/>
    <x v="0"/>
    <x v="0"/>
    <x v="0"/>
    <n v="20"/>
    <n v="15"/>
    <n v="50"/>
  </r>
  <r>
    <n v="3432"/>
    <s v="Olivia Freitas"/>
    <x v="2"/>
    <x v="200"/>
    <x v="0"/>
    <n v="10"/>
    <x v="1"/>
    <x v="1"/>
    <x v="1"/>
    <x v="0"/>
    <n v="20"/>
    <n v="15"/>
    <n v="15"/>
  </r>
  <r>
    <n v="3433"/>
    <s v="Paulo Nogueira"/>
    <x v="1"/>
    <x v="201"/>
    <x v="1"/>
    <n v="5"/>
    <x v="0"/>
    <x v="1"/>
    <x v="1"/>
    <x v="1"/>
    <n v="0"/>
    <n v="1"/>
    <n v="4"/>
  </r>
  <r>
    <n v="3434"/>
    <s v="Raquel Andrade"/>
    <x v="0"/>
    <x v="202"/>
    <x v="0"/>
    <n v="15"/>
    <x v="2"/>
    <x v="0"/>
    <x v="0"/>
    <x v="0"/>
    <n v="20"/>
    <n v="7"/>
    <n v="58"/>
  </r>
  <r>
    <n v="3435"/>
    <s v="Sônia Carvalho"/>
    <x v="2"/>
    <x v="203"/>
    <x v="1"/>
    <n v="10"/>
    <x v="0"/>
    <x v="1"/>
    <x v="1"/>
    <x v="0"/>
    <n v="20"/>
    <n v="10"/>
    <n v="20"/>
  </r>
  <r>
    <n v="3436"/>
    <s v="Tiago Rodrigues"/>
    <x v="1"/>
    <x v="204"/>
    <x v="0"/>
    <n v="5"/>
    <x v="0"/>
    <x v="1"/>
    <x v="1"/>
    <x v="1"/>
    <n v="0"/>
    <n v="0"/>
    <n v="5"/>
  </r>
  <r>
    <n v="3437"/>
    <s v="Ursula Monteiro"/>
    <x v="0"/>
    <x v="205"/>
    <x v="1"/>
    <n v="15"/>
    <x v="2"/>
    <x v="0"/>
    <x v="0"/>
    <x v="0"/>
    <n v="20"/>
    <n v="7"/>
    <n v="58"/>
  </r>
  <r>
    <n v="3438"/>
    <s v="Vanessa Pereira"/>
    <x v="2"/>
    <x v="206"/>
    <x v="0"/>
    <n v="10"/>
    <x v="1"/>
    <x v="1"/>
    <x v="1"/>
    <x v="0"/>
    <n v="20"/>
    <n v="10"/>
    <n v="20"/>
  </r>
  <r>
    <n v="3439"/>
    <s v="Walter Silva"/>
    <x v="1"/>
    <x v="207"/>
    <x v="1"/>
    <n v="5"/>
    <x v="2"/>
    <x v="1"/>
    <x v="1"/>
    <x v="1"/>
    <n v="0"/>
    <n v="1"/>
    <n v="4"/>
  </r>
  <r>
    <n v="3440"/>
    <s v="Xavier Almeida"/>
    <x v="0"/>
    <x v="208"/>
    <x v="0"/>
    <n v="15"/>
    <x v="0"/>
    <x v="0"/>
    <x v="0"/>
    <x v="0"/>
    <n v="20"/>
    <n v="15"/>
    <n v="50"/>
  </r>
  <r>
    <n v="3441"/>
    <s v="Yasmine Correia"/>
    <x v="2"/>
    <x v="209"/>
    <x v="1"/>
    <n v="10"/>
    <x v="0"/>
    <x v="1"/>
    <x v="1"/>
    <x v="0"/>
    <n v="20"/>
    <n v="5"/>
    <n v="25"/>
  </r>
  <r>
    <n v="3442"/>
    <s v="Zacarias Almeida"/>
    <x v="1"/>
    <x v="210"/>
    <x v="0"/>
    <n v="5"/>
    <x v="1"/>
    <x v="1"/>
    <x v="1"/>
    <x v="1"/>
    <n v="0"/>
    <n v="0"/>
    <n v="5"/>
  </r>
  <r>
    <n v="3443"/>
    <s v="Amanda Costa"/>
    <x v="0"/>
    <x v="211"/>
    <x v="1"/>
    <n v="15"/>
    <x v="2"/>
    <x v="0"/>
    <x v="0"/>
    <x v="0"/>
    <n v="20"/>
    <n v="20"/>
    <n v="45"/>
  </r>
  <r>
    <n v="3444"/>
    <s v="Bruno Ferreira"/>
    <x v="2"/>
    <x v="212"/>
    <x v="0"/>
    <n v="10"/>
    <x v="2"/>
    <x v="1"/>
    <x v="1"/>
    <x v="0"/>
    <n v="20"/>
    <n v="12"/>
    <n v="18"/>
  </r>
  <r>
    <n v="3445"/>
    <s v="Carla Dias"/>
    <x v="1"/>
    <x v="213"/>
    <x v="1"/>
    <n v="5"/>
    <x v="0"/>
    <x v="1"/>
    <x v="1"/>
    <x v="1"/>
    <n v="0"/>
    <n v="2"/>
    <n v="3"/>
  </r>
  <r>
    <n v="3446"/>
    <s v="Diogo Martins"/>
    <x v="0"/>
    <x v="214"/>
    <x v="0"/>
    <n v="15"/>
    <x v="1"/>
    <x v="0"/>
    <x v="0"/>
    <x v="0"/>
    <n v="20"/>
    <n v="5"/>
    <n v="60"/>
  </r>
  <r>
    <n v="3447"/>
    <s v="Elisa Campos"/>
    <x v="2"/>
    <x v="215"/>
    <x v="1"/>
    <n v="10"/>
    <x v="0"/>
    <x v="1"/>
    <x v="1"/>
    <x v="0"/>
    <n v="20"/>
    <n v="10"/>
    <n v="20"/>
  </r>
  <r>
    <n v="3448"/>
    <s v="Fabiana Lima"/>
    <x v="1"/>
    <x v="216"/>
    <x v="0"/>
    <n v="5"/>
    <x v="2"/>
    <x v="1"/>
    <x v="1"/>
    <x v="1"/>
    <n v="0"/>
    <n v="0"/>
    <n v="5"/>
  </r>
  <r>
    <n v="3449"/>
    <s v="Gabriel Santos"/>
    <x v="0"/>
    <x v="217"/>
    <x v="1"/>
    <n v="15"/>
    <x v="0"/>
    <x v="0"/>
    <x v="0"/>
    <x v="0"/>
    <n v="20"/>
    <n v="3"/>
    <n v="62"/>
  </r>
  <r>
    <n v="3450"/>
    <s v="Helena Ferreira"/>
    <x v="2"/>
    <x v="218"/>
    <x v="0"/>
    <n v="10"/>
    <x v="1"/>
    <x v="1"/>
    <x v="1"/>
    <x v="0"/>
    <n v="20"/>
    <n v="15"/>
    <n v="15"/>
  </r>
  <r>
    <n v="3451"/>
    <s v="Ígor Nunes"/>
    <x v="1"/>
    <x v="219"/>
    <x v="1"/>
    <n v="5"/>
    <x v="0"/>
    <x v="1"/>
    <x v="1"/>
    <x v="1"/>
    <n v="0"/>
    <n v="1"/>
    <n v="4"/>
  </r>
  <r>
    <n v="3452"/>
    <s v="Joana Silveira"/>
    <x v="0"/>
    <x v="220"/>
    <x v="0"/>
    <n v="15"/>
    <x v="2"/>
    <x v="0"/>
    <x v="0"/>
    <x v="0"/>
    <n v="20"/>
    <n v="7"/>
    <n v="58"/>
  </r>
  <r>
    <n v="3453"/>
    <s v="Kléber Oliveira"/>
    <x v="2"/>
    <x v="221"/>
    <x v="1"/>
    <n v="10"/>
    <x v="0"/>
    <x v="1"/>
    <x v="1"/>
    <x v="0"/>
    <n v="20"/>
    <n v="10"/>
    <n v="20"/>
  </r>
  <r>
    <n v="3454"/>
    <s v="Luciana Morais"/>
    <x v="1"/>
    <x v="222"/>
    <x v="0"/>
    <n v="5"/>
    <x v="1"/>
    <x v="1"/>
    <x v="1"/>
    <x v="1"/>
    <n v="0"/>
    <n v="0"/>
    <n v="5"/>
  </r>
  <r>
    <n v="3455"/>
    <s v="Marcos Vinícius"/>
    <x v="0"/>
    <x v="223"/>
    <x v="1"/>
    <n v="15"/>
    <x v="0"/>
    <x v="0"/>
    <x v="0"/>
    <x v="0"/>
    <n v="20"/>
    <n v="20"/>
    <n v="45"/>
  </r>
  <r>
    <n v="3456"/>
    <s v="Natália Barros"/>
    <x v="2"/>
    <x v="224"/>
    <x v="0"/>
    <n v="10"/>
    <x v="2"/>
    <x v="1"/>
    <x v="1"/>
    <x v="0"/>
    <n v="20"/>
    <n v="15"/>
    <n v="15"/>
  </r>
  <r>
    <n v="3457"/>
    <s v="Oscar Sampaio"/>
    <x v="1"/>
    <x v="225"/>
    <x v="1"/>
    <n v="5"/>
    <x v="0"/>
    <x v="1"/>
    <x v="1"/>
    <x v="1"/>
    <n v="0"/>
    <n v="1"/>
    <n v="4"/>
  </r>
  <r>
    <n v="3458"/>
    <s v="Patrícia Leite"/>
    <x v="0"/>
    <x v="226"/>
    <x v="0"/>
    <n v="15"/>
    <x v="1"/>
    <x v="0"/>
    <x v="0"/>
    <x v="0"/>
    <n v="20"/>
    <n v="3"/>
    <n v="62"/>
  </r>
  <r>
    <n v="3459"/>
    <s v="Quênia Rocha"/>
    <x v="2"/>
    <x v="227"/>
    <x v="1"/>
    <n v="10"/>
    <x v="0"/>
    <x v="1"/>
    <x v="1"/>
    <x v="0"/>
    <n v="20"/>
    <n v="10"/>
    <n v="20"/>
  </r>
  <r>
    <n v="3460"/>
    <s v="Rafael Torres"/>
    <x v="1"/>
    <x v="228"/>
    <x v="0"/>
    <n v="5"/>
    <x v="2"/>
    <x v="1"/>
    <x v="1"/>
    <x v="1"/>
    <n v="0"/>
    <n v="0"/>
    <n v="5"/>
  </r>
  <r>
    <n v="3461"/>
    <s v="Sandra Gouveia"/>
    <x v="0"/>
    <x v="229"/>
    <x v="1"/>
    <n v="15"/>
    <x v="0"/>
    <x v="0"/>
    <x v="0"/>
    <x v="0"/>
    <n v="20"/>
    <n v="15"/>
    <n v="50"/>
  </r>
  <r>
    <n v="3462"/>
    <s v="Tiago Lacerda"/>
    <x v="2"/>
    <x v="230"/>
    <x v="0"/>
    <n v="10"/>
    <x v="1"/>
    <x v="1"/>
    <x v="1"/>
    <x v="0"/>
    <n v="20"/>
    <n v="15"/>
    <n v="15"/>
  </r>
  <r>
    <n v="3463"/>
    <s v="Ursula Fonseca"/>
    <x v="1"/>
    <x v="231"/>
    <x v="1"/>
    <n v="5"/>
    <x v="0"/>
    <x v="1"/>
    <x v="1"/>
    <x v="1"/>
    <n v="0"/>
    <n v="1"/>
    <n v="4"/>
  </r>
  <r>
    <n v="3464"/>
    <s v="Vanessa Andrade"/>
    <x v="0"/>
    <x v="232"/>
    <x v="0"/>
    <n v="15"/>
    <x v="2"/>
    <x v="0"/>
    <x v="0"/>
    <x v="0"/>
    <n v="20"/>
    <n v="7"/>
    <n v="58"/>
  </r>
  <r>
    <n v="3465"/>
    <s v="William Castro"/>
    <x v="2"/>
    <x v="233"/>
    <x v="1"/>
    <n v="10"/>
    <x v="0"/>
    <x v="1"/>
    <x v="1"/>
    <x v="0"/>
    <n v="20"/>
    <n v="10"/>
    <n v="20"/>
  </r>
  <r>
    <n v="3466"/>
    <s v="Xavier Monteiro"/>
    <x v="1"/>
    <x v="234"/>
    <x v="0"/>
    <n v="5"/>
    <x v="1"/>
    <x v="1"/>
    <x v="1"/>
    <x v="1"/>
    <n v="0"/>
    <n v="0"/>
    <n v="5"/>
  </r>
  <r>
    <n v="3467"/>
    <s v="Yasmin Figueira"/>
    <x v="0"/>
    <x v="235"/>
    <x v="1"/>
    <n v="15"/>
    <x v="0"/>
    <x v="0"/>
    <x v="0"/>
    <x v="0"/>
    <n v="20"/>
    <n v="15"/>
    <n v="50"/>
  </r>
  <r>
    <n v="3468"/>
    <s v="Zacarias Mendonça"/>
    <x v="2"/>
    <x v="236"/>
    <x v="0"/>
    <n v="10"/>
    <x v="2"/>
    <x v="1"/>
    <x v="1"/>
    <x v="0"/>
    <n v="20"/>
    <n v="12"/>
    <n v="18"/>
  </r>
  <r>
    <n v="3469"/>
    <s v="Amanda Menezes"/>
    <x v="1"/>
    <x v="237"/>
    <x v="1"/>
    <n v="5"/>
    <x v="0"/>
    <x v="1"/>
    <x v="1"/>
    <x v="1"/>
    <n v="0"/>
    <n v="2"/>
    <n v="3"/>
  </r>
  <r>
    <n v="3470"/>
    <s v="Bruno Santos"/>
    <x v="0"/>
    <x v="238"/>
    <x v="0"/>
    <n v="15"/>
    <x v="1"/>
    <x v="0"/>
    <x v="0"/>
    <x v="0"/>
    <n v="20"/>
    <n v="5"/>
    <n v="60"/>
  </r>
  <r>
    <n v="3471"/>
    <s v="Carla Ferreira"/>
    <x v="2"/>
    <x v="239"/>
    <x v="1"/>
    <n v="10"/>
    <x v="0"/>
    <x v="1"/>
    <x v="1"/>
    <x v="0"/>
    <n v="20"/>
    <n v="10"/>
    <n v="20"/>
  </r>
  <r>
    <n v="3472"/>
    <s v="Diogo Alves"/>
    <x v="1"/>
    <x v="240"/>
    <x v="0"/>
    <n v="5"/>
    <x v="2"/>
    <x v="1"/>
    <x v="1"/>
    <x v="1"/>
    <n v="0"/>
    <n v="0"/>
    <n v="5"/>
  </r>
  <r>
    <n v="3473"/>
    <s v="Elisa Neves"/>
    <x v="0"/>
    <x v="241"/>
    <x v="1"/>
    <n v="15"/>
    <x v="0"/>
    <x v="0"/>
    <x v="0"/>
    <x v="0"/>
    <n v="20"/>
    <n v="3"/>
    <n v="62"/>
  </r>
  <r>
    <n v="3474"/>
    <s v="Fabiano Pires"/>
    <x v="2"/>
    <x v="242"/>
    <x v="0"/>
    <n v="10"/>
    <x v="1"/>
    <x v="1"/>
    <x v="1"/>
    <x v="0"/>
    <n v="20"/>
    <n v="15"/>
    <n v="15"/>
  </r>
  <r>
    <n v="3475"/>
    <s v="Giovana Ribeiro"/>
    <x v="1"/>
    <x v="243"/>
    <x v="1"/>
    <n v="5"/>
    <x v="0"/>
    <x v="1"/>
    <x v="1"/>
    <x v="1"/>
    <n v="0"/>
    <n v="1"/>
    <n v="4"/>
  </r>
  <r>
    <n v="3476"/>
    <s v="Hélio Costa"/>
    <x v="0"/>
    <x v="244"/>
    <x v="0"/>
    <n v="15"/>
    <x v="2"/>
    <x v="0"/>
    <x v="0"/>
    <x v="0"/>
    <n v="20"/>
    <n v="7"/>
    <n v="58"/>
  </r>
  <r>
    <n v="3477"/>
    <s v="Íris Loureiro"/>
    <x v="2"/>
    <x v="245"/>
    <x v="1"/>
    <n v="10"/>
    <x v="0"/>
    <x v="1"/>
    <x v="1"/>
    <x v="0"/>
    <n v="20"/>
    <n v="10"/>
    <n v="20"/>
  </r>
  <r>
    <n v="3478"/>
    <s v="João Pereira"/>
    <x v="1"/>
    <x v="246"/>
    <x v="0"/>
    <n v="5"/>
    <x v="1"/>
    <x v="1"/>
    <x v="1"/>
    <x v="1"/>
    <n v="0"/>
    <n v="0"/>
    <n v="5"/>
  </r>
  <r>
    <n v="3479"/>
    <s v="Klara Silva"/>
    <x v="0"/>
    <x v="247"/>
    <x v="1"/>
    <n v="15"/>
    <x v="0"/>
    <x v="0"/>
    <x v="0"/>
    <x v="0"/>
    <n v="20"/>
    <n v="20"/>
    <n v="45"/>
  </r>
  <r>
    <n v="3480"/>
    <s v="Luciana Barros"/>
    <x v="2"/>
    <x v="248"/>
    <x v="0"/>
    <n v="10"/>
    <x v="2"/>
    <x v="1"/>
    <x v="1"/>
    <x v="0"/>
    <n v="20"/>
    <n v="15"/>
    <n v="15"/>
  </r>
  <r>
    <n v="3481"/>
    <s v="Marcos Gomes"/>
    <x v="1"/>
    <x v="249"/>
    <x v="1"/>
    <n v="5"/>
    <x v="0"/>
    <x v="1"/>
    <x v="1"/>
    <x v="1"/>
    <n v="0"/>
    <n v="1"/>
    <n v="4"/>
  </r>
  <r>
    <n v="3482"/>
    <s v="Natália Soares"/>
    <x v="0"/>
    <x v="250"/>
    <x v="0"/>
    <n v="15"/>
    <x v="1"/>
    <x v="0"/>
    <x v="0"/>
    <x v="0"/>
    <n v="20"/>
    <n v="3"/>
    <n v="62"/>
  </r>
  <r>
    <n v="3483"/>
    <s v="Oscar Machado"/>
    <x v="2"/>
    <x v="251"/>
    <x v="1"/>
    <n v="10"/>
    <x v="0"/>
    <x v="1"/>
    <x v="1"/>
    <x v="0"/>
    <n v="20"/>
    <n v="10"/>
    <n v="20"/>
  </r>
  <r>
    <n v="3484"/>
    <s v="Patrícia Lima"/>
    <x v="1"/>
    <x v="252"/>
    <x v="0"/>
    <n v="5"/>
    <x v="2"/>
    <x v="1"/>
    <x v="1"/>
    <x v="1"/>
    <n v="0"/>
    <n v="0"/>
    <n v="5"/>
  </r>
  <r>
    <n v="3485"/>
    <s v="Quirino Neto"/>
    <x v="0"/>
    <x v="253"/>
    <x v="1"/>
    <n v="15"/>
    <x v="0"/>
    <x v="0"/>
    <x v="0"/>
    <x v="0"/>
    <n v="20"/>
    <n v="15"/>
    <n v="50"/>
  </r>
  <r>
    <n v="3486"/>
    <s v="Rafaela Souza"/>
    <x v="1"/>
    <x v="254"/>
    <x v="0"/>
    <n v="5"/>
    <x v="0"/>
    <x v="1"/>
    <x v="1"/>
    <x v="1"/>
    <n v="0"/>
    <n v="0"/>
    <n v="5"/>
  </r>
  <r>
    <n v="3487"/>
    <s v="Sandro Almeida"/>
    <x v="0"/>
    <x v="255"/>
    <x v="1"/>
    <n v="15"/>
    <x v="2"/>
    <x v="0"/>
    <x v="0"/>
    <x v="0"/>
    <n v="20"/>
    <n v="7"/>
    <n v="58"/>
  </r>
  <r>
    <n v="3488"/>
    <s v="Tânia Ribeiro"/>
    <x v="2"/>
    <x v="256"/>
    <x v="0"/>
    <n v="10"/>
    <x v="1"/>
    <x v="1"/>
    <x v="1"/>
    <x v="0"/>
    <n v="20"/>
    <n v="10"/>
    <n v="20"/>
  </r>
  <r>
    <n v="3489"/>
    <s v="Ugo Dias"/>
    <x v="1"/>
    <x v="257"/>
    <x v="1"/>
    <n v="5"/>
    <x v="2"/>
    <x v="1"/>
    <x v="1"/>
    <x v="1"/>
    <n v="0"/>
    <n v="1"/>
    <n v="4"/>
  </r>
  <r>
    <n v="3490"/>
    <s v="Valéria Lima"/>
    <x v="0"/>
    <x v="258"/>
    <x v="0"/>
    <n v="15"/>
    <x v="0"/>
    <x v="0"/>
    <x v="0"/>
    <x v="0"/>
    <n v="20"/>
    <n v="15"/>
    <n v="50"/>
  </r>
  <r>
    <n v="3491"/>
    <s v="William Fernandes"/>
    <x v="2"/>
    <x v="259"/>
    <x v="1"/>
    <n v="10"/>
    <x v="0"/>
    <x v="1"/>
    <x v="1"/>
    <x v="0"/>
    <n v="20"/>
    <n v="5"/>
    <n v="25"/>
  </r>
  <r>
    <n v="3492"/>
    <s v="Xuxa Mendes"/>
    <x v="1"/>
    <x v="260"/>
    <x v="0"/>
    <n v="5"/>
    <x v="1"/>
    <x v="1"/>
    <x v="1"/>
    <x v="1"/>
    <n v="0"/>
    <n v="0"/>
    <n v="5"/>
  </r>
  <r>
    <n v="3493"/>
    <s v="Ygor Farias"/>
    <x v="0"/>
    <x v="261"/>
    <x v="1"/>
    <n v="15"/>
    <x v="2"/>
    <x v="0"/>
    <x v="0"/>
    <x v="0"/>
    <n v="20"/>
    <n v="20"/>
    <n v="45"/>
  </r>
  <r>
    <n v="3494"/>
    <s v="Zilda Barros"/>
    <x v="2"/>
    <x v="262"/>
    <x v="0"/>
    <n v="10"/>
    <x v="2"/>
    <x v="1"/>
    <x v="1"/>
    <x v="0"/>
    <n v="20"/>
    <n v="12"/>
    <n v="18"/>
  </r>
  <r>
    <n v="3495"/>
    <s v="Amanda Santos"/>
    <x v="1"/>
    <x v="263"/>
    <x v="1"/>
    <n v="5"/>
    <x v="0"/>
    <x v="1"/>
    <x v="1"/>
    <x v="1"/>
    <n v="0"/>
    <n v="2"/>
    <n v="3"/>
  </r>
  <r>
    <n v="3496"/>
    <s v="Bruno Costa"/>
    <x v="0"/>
    <x v="264"/>
    <x v="0"/>
    <n v="15"/>
    <x v="1"/>
    <x v="0"/>
    <x v="0"/>
    <x v="0"/>
    <n v="20"/>
    <n v="5"/>
    <n v="60"/>
  </r>
  <r>
    <n v="3497"/>
    <s v="Carla Rodrigues"/>
    <x v="2"/>
    <x v="265"/>
    <x v="1"/>
    <n v="10"/>
    <x v="0"/>
    <x v="1"/>
    <x v="1"/>
    <x v="0"/>
    <n v="20"/>
    <n v="10"/>
    <n v="20"/>
  </r>
  <r>
    <n v="3498"/>
    <s v="Diogo Pereira"/>
    <x v="1"/>
    <x v="266"/>
    <x v="0"/>
    <n v="5"/>
    <x v="2"/>
    <x v="1"/>
    <x v="1"/>
    <x v="1"/>
    <n v="0"/>
    <n v="0"/>
    <n v="5"/>
  </r>
  <r>
    <n v="3499"/>
    <s v="Elisa Correia"/>
    <x v="0"/>
    <x v="267"/>
    <x v="1"/>
    <n v="15"/>
    <x v="0"/>
    <x v="0"/>
    <x v="0"/>
    <x v="0"/>
    <n v="20"/>
    <n v="3"/>
    <n v="62"/>
  </r>
  <r>
    <n v="3500"/>
    <s v="Fábio Lourenço"/>
    <x v="2"/>
    <x v="268"/>
    <x v="0"/>
    <n v="10"/>
    <x v="1"/>
    <x v="1"/>
    <x v="1"/>
    <x v="0"/>
    <n v="20"/>
    <n v="15"/>
    <n v="15"/>
  </r>
  <r>
    <n v="3501"/>
    <s v="Gabriela Neves"/>
    <x v="1"/>
    <x v="269"/>
    <x v="1"/>
    <n v="5"/>
    <x v="0"/>
    <x v="1"/>
    <x v="1"/>
    <x v="1"/>
    <n v="0"/>
    <n v="1"/>
    <n v="4"/>
  </r>
  <r>
    <n v="3502"/>
    <s v="Henrique Gonçalves"/>
    <x v="0"/>
    <x v="270"/>
    <x v="0"/>
    <n v="15"/>
    <x v="2"/>
    <x v="0"/>
    <x v="0"/>
    <x v="0"/>
    <n v="20"/>
    <n v="7"/>
    <n v="58"/>
  </r>
  <r>
    <n v="3503"/>
    <s v="Íris Santos"/>
    <x v="2"/>
    <x v="271"/>
    <x v="1"/>
    <n v="10"/>
    <x v="0"/>
    <x v="1"/>
    <x v="1"/>
    <x v="0"/>
    <n v="20"/>
    <n v="10"/>
    <n v="20"/>
  </r>
  <r>
    <n v="3504"/>
    <s v="João Marcelo Alves"/>
    <x v="1"/>
    <x v="272"/>
    <x v="0"/>
    <n v="5"/>
    <x v="1"/>
    <x v="1"/>
    <x v="1"/>
    <x v="1"/>
    <n v="0"/>
    <n v="0"/>
    <n v="5"/>
  </r>
  <r>
    <n v="3505"/>
    <s v="Klara Fonseca"/>
    <x v="0"/>
    <x v="273"/>
    <x v="1"/>
    <n v="15"/>
    <x v="0"/>
    <x v="0"/>
    <x v="0"/>
    <x v="0"/>
    <n v="20"/>
    <n v="20"/>
    <n v="45"/>
  </r>
  <r>
    <n v="3506"/>
    <s v="Lucas Mendonça"/>
    <x v="2"/>
    <x v="274"/>
    <x v="0"/>
    <n v="10"/>
    <x v="2"/>
    <x v="1"/>
    <x v="1"/>
    <x v="0"/>
    <n v="20"/>
    <n v="15"/>
    <n v="15"/>
  </r>
  <r>
    <n v="3507"/>
    <s v="Marcela Torres"/>
    <x v="1"/>
    <x v="275"/>
    <x v="1"/>
    <n v="5"/>
    <x v="0"/>
    <x v="1"/>
    <x v="1"/>
    <x v="1"/>
    <n v="0"/>
    <n v="1"/>
    <n v="4"/>
  </r>
  <r>
    <n v="3508"/>
    <s v="Natália Castro"/>
    <x v="0"/>
    <x v="276"/>
    <x v="0"/>
    <n v="15"/>
    <x v="1"/>
    <x v="0"/>
    <x v="0"/>
    <x v="0"/>
    <n v="20"/>
    <n v="3"/>
    <n v="62"/>
  </r>
  <r>
    <n v="3509"/>
    <s v="Oscar Martins"/>
    <x v="2"/>
    <x v="277"/>
    <x v="1"/>
    <n v="10"/>
    <x v="0"/>
    <x v="1"/>
    <x v="1"/>
    <x v="0"/>
    <n v="20"/>
    <n v="10"/>
    <n v="20"/>
  </r>
  <r>
    <n v="3510"/>
    <s v="Patrícia Oliveira"/>
    <x v="1"/>
    <x v="278"/>
    <x v="0"/>
    <n v="5"/>
    <x v="2"/>
    <x v="1"/>
    <x v="1"/>
    <x v="1"/>
    <n v="0"/>
    <n v="0"/>
    <n v="5"/>
  </r>
  <r>
    <n v="3511"/>
    <s v="Quentin Nogueira"/>
    <x v="0"/>
    <x v="279"/>
    <x v="1"/>
    <n v="15"/>
    <x v="0"/>
    <x v="0"/>
    <x v="0"/>
    <x v="0"/>
    <n v="20"/>
    <n v="15"/>
    <n v="50"/>
  </r>
  <r>
    <n v="3512"/>
    <s v="Raquel Silva"/>
    <x v="2"/>
    <x v="280"/>
    <x v="0"/>
    <n v="10"/>
    <x v="1"/>
    <x v="1"/>
    <x v="1"/>
    <x v="0"/>
    <n v="20"/>
    <n v="15"/>
    <n v="15"/>
  </r>
  <r>
    <n v="3513"/>
    <s v="Sandro Gomes"/>
    <x v="1"/>
    <x v="281"/>
    <x v="1"/>
    <n v="5"/>
    <x v="0"/>
    <x v="1"/>
    <x v="1"/>
    <x v="1"/>
    <n v="0"/>
    <n v="1"/>
    <n v="4"/>
  </r>
  <r>
    <n v="3514"/>
    <s v="Tânia Machado"/>
    <x v="0"/>
    <x v="282"/>
    <x v="0"/>
    <n v="15"/>
    <x v="2"/>
    <x v="0"/>
    <x v="0"/>
    <x v="0"/>
    <n v="20"/>
    <n v="7"/>
    <n v="58"/>
  </r>
  <r>
    <n v="3515"/>
    <s v="Ursula Silva"/>
    <x v="2"/>
    <x v="283"/>
    <x v="1"/>
    <n v="10"/>
    <x v="0"/>
    <x v="1"/>
    <x v="1"/>
    <x v="0"/>
    <n v="20"/>
    <n v="10"/>
    <n v="20"/>
  </r>
  <r>
    <n v="3516"/>
    <s v="Vanessa Moraes"/>
    <x v="1"/>
    <x v="284"/>
    <x v="0"/>
    <n v="5"/>
    <x v="1"/>
    <x v="1"/>
    <x v="1"/>
    <x v="1"/>
    <n v="0"/>
    <n v="0"/>
    <n v="5"/>
  </r>
  <r>
    <n v="3517"/>
    <s v="William Carvalho"/>
    <x v="0"/>
    <x v="285"/>
    <x v="1"/>
    <n v="15"/>
    <x v="0"/>
    <x v="0"/>
    <x v="0"/>
    <x v="0"/>
    <n v="20"/>
    <n v="20"/>
    <n v="45"/>
  </r>
  <r>
    <n v="3518"/>
    <s v="Xavier Reis"/>
    <x v="2"/>
    <x v="286"/>
    <x v="0"/>
    <n v="10"/>
    <x v="2"/>
    <x v="1"/>
    <x v="1"/>
    <x v="0"/>
    <n v="20"/>
    <n v="12"/>
    <n v="18"/>
  </r>
  <r>
    <n v="3519"/>
    <s v="Yasmin Rocha"/>
    <x v="1"/>
    <x v="287"/>
    <x v="1"/>
    <n v="5"/>
    <x v="0"/>
    <x v="1"/>
    <x v="1"/>
    <x v="1"/>
    <n v="0"/>
    <n v="2"/>
    <n v="3"/>
  </r>
  <r>
    <n v="3520"/>
    <s v="Zacarias Duarte"/>
    <x v="0"/>
    <x v="288"/>
    <x v="0"/>
    <n v="15"/>
    <x v="1"/>
    <x v="0"/>
    <x v="0"/>
    <x v="0"/>
    <n v="20"/>
    <n v="5"/>
    <n v="60"/>
  </r>
  <r>
    <n v="3521"/>
    <s v="Amanda Freitas"/>
    <x v="2"/>
    <x v="289"/>
    <x v="1"/>
    <n v="10"/>
    <x v="0"/>
    <x v="1"/>
    <x v="1"/>
    <x v="0"/>
    <n v="20"/>
    <n v="10"/>
    <n v="20"/>
  </r>
  <r>
    <n v="3522"/>
    <s v="Bruno Almeida"/>
    <x v="1"/>
    <x v="290"/>
    <x v="0"/>
    <n v="5"/>
    <x v="2"/>
    <x v="1"/>
    <x v="1"/>
    <x v="1"/>
    <n v="0"/>
    <n v="0"/>
    <n v="5"/>
  </r>
  <r>
    <n v="3523"/>
    <s v="Carla Siqueira"/>
    <x v="0"/>
    <x v="291"/>
    <x v="1"/>
    <n v="15"/>
    <x v="0"/>
    <x v="0"/>
    <x v="0"/>
    <x v="0"/>
    <n v="20"/>
    <n v="3"/>
    <n v="62"/>
  </r>
  <r>
    <n v="3524"/>
    <s v="Diogo Ramos"/>
    <x v="2"/>
    <x v="292"/>
    <x v="0"/>
    <n v="10"/>
    <x v="1"/>
    <x v="1"/>
    <x v="1"/>
    <x v="0"/>
    <n v="20"/>
    <n v="15"/>
    <n v="15"/>
  </r>
  <r>
    <n v="3525"/>
    <s v="Elisa Magalhães"/>
    <x v="1"/>
    <x v="293"/>
    <x v="1"/>
    <n v="5"/>
    <x v="0"/>
    <x v="1"/>
    <x v="1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90AD3C-769B-4C0F-B7EB-4638559CDC5E}" name="Tabela dinâmica8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F11:G24" firstHeaderRow="1" firstDataRow="1" firstDataCol="1"/>
  <pivotFields count="15">
    <pivotField dataField="1" showAll="0"/>
    <pivotField showAll="0"/>
    <pivotField showAll="0"/>
    <pivotField axis="axisRow"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numFmtId="44" showAll="0"/>
    <pivotField numFmtId="44" showAll="0"/>
    <pivotField numFmtId="44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 sd="0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</pivotFields>
  <rowFields count="3">
    <field x="14"/>
    <field x="13"/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ntagem de Subscriber ID" fld="0" subtotal="count" baseField="0" baseItem="0"/>
  </dataFields>
  <chartFormats count="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104C78-7AF7-4DEB-AD98-437A0F4AB9C5}" name="Tabela dinâmica6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9:D10" firstHeaderRow="0" firstDataRow="1" firstDataCol="0"/>
  <pivotFields count="15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/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dataField="1" numFmtId="44" showAll="0"/>
    <pivotField numFmtId="44" showAll="0"/>
    <pivotField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Soma de Minecraft Season Pass Price" fld="10" baseField="0" baseItem="0" numFmtId="44"/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79B339-4398-4A79-8B69-3395A6BDD170}" name="Tabela dinâmica5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L3:M7" firstHeaderRow="1" firstDataRow="1" firstDataCol="1"/>
  <pivotFields count="15">
    <pivotField dataField="1"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Row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Subscriber ID"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52E86A-2AF0-4F77-B426-38C181CB3E50}" name="Tabela dinâmica4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3:J6" firstHeaderRow="1" firstDataRow="1" firstDataCol="1"/>
  <pivotFields count="15">
    <pivotField dataField="1"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ntagem de Subscrib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D6E4F1-DEFA-43FD-8814-C67AF9EAAC0E}" name="Tabela dinâmica3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3:G6" firstHeaderRow="1" firstDataRow="1" firstDataCol="1"/>
  <pivotFields count="15">
    <pivotField dataField="1"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/>
    <pivotField showAll="0">
      <items count="3">
        <item x="1"/>
        <item x="0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ntagem de Subscrib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D44366-6493-4491-8CEE-5B5D1D385278}" name="Tabela dinâmica2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3:D6" firstHeaderRow="1" firstDataRow="1" firstDataCol="1"/>
  <pivotFields count="15">
    <pivotField dataField="1"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/>
    <pivotField axis="axisRow" showAll="0">
      <items count="3">
        <item x="1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ntagem de Subscrib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N296" totalsRowShown="0" dataDxfId="14">
  <autoFilter ref="A1:N296" xr:uid="{34E0E886-4200-4B36-97B3-63DB74FF40A0}">
    <filterColumn colId="4">
      <filters>
        <filter val="Yes"/>
      </filters>
    </filterColumn>
  </autoFilter>
  <tableColumns count="14">
    <tableColumn id="1" xr3:uid="{C4A90516-688A-46BF-9167-EA16C2A8A652}" name="Subscriber ID" dataDxfId="13"/>
    <tableColumn id="2" xr3:uid="{53DD39D0-2220-4121-9E9D-4EAA7E151C0F}" name="Name" dataDxfId="12"/>
    <tableColumn id="3" xr3:uid="{4F5FF271-4C57-4BE0-8F2C-F82C8551625C}" name="Plan" dataDxfId="11"/>
    <tableColumn id="4" xr3:uid="{8C17EB93-79B9-4E55-B8F7-BEB82F8253E9}" name="Start Date" dataDxfId="10"/>
    <tableColumn id="5" xr3:uid="{48CEDF9B-1689-482A-A828-5CCE7713264A}" name="Auto Renewal" dataDxfId="9"/>
    <tableColumn id="6" xr3:uid="{78B82374-9AA7-4E38-AE4F-78CDE6C83720}" name="Subscription Price" dataDxfId="8" dataCellStyle="Moeda"/>
    <tableColumn id="7" xr3:uid="{F2433F68-AF33-49D0-B1FB-19A396074EDE}" name="Subscription Type" dataDxfId="7"/>
    <tableColumn id="8" xr3:uid="{FD4D9C95-F6E5-4933-9068-A71FF7DF9343}" name="EA Play Season Pass" dataDxfId="6"/>
    <tableColumn id="13" xr3:uid="{978DD0D2-834E-4CE4-A39B-30976086932F}" name="EA Play Season Pass_x000a_Price" dataDxfId="5" dataCellStyle="Moeda"/>
    <tableColumn id="9" xr3:uid="{6E29F111-C395-4580-9DAD-3407D9E8B1A4}" name="Minecraft Season Pass" dataDxfId="4"/>
    <tableColumn id="10" xr3:uid="{EF544EAA-7F25-4FD5-A10E-8E62804DB9E3}" name="Minecraft Season Pass Price" dataDxfId="3" dataCellStyle="Moeda"/>
    <tableColumn id="11" xr3:uid="{7F6EB64A-1F07-4E48-9F0F-AC7D9DCD26F8}" name="Coupon Value" dataDxfId="2" dataCellStyle="Moeda"/>
    <tableColumn id="12" xr3:uid="{2B04ABC8-DE6F-426E-ADC0-D8AFC68CA58E}" name="Total Value" dataDxfId="1" dataCellStyle="Moeda"/>
    <tableColumn id="14" xr3:uid="{F4407C77-BFE1-43BB-8D3F-7C6B6D47D684}" name="Coluna1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J12" sqref="J12"/>
    </sheetView>
  </sheetViews>
  <sheetFormatPr defaultRowHeight="14.25" x14ac:dyDescent="0.45"/>
  <cols>
    <col min="9" max="9" width="3.59765625" customWidth="1"/>
  </cols>
  <sheetData>
    <row r="3" spans="2:16" ht="19.899999999999999" thickBot="1" x14ac:dyDescent="0.65">
      <c r="B3" s="1" t="s">
        <v>0</v>
      </c>
      <c r="C3" s="1"/>
      <c r="D3" s="1"/>
      <c r="E3" s="1"/>
      <c r="F3" s="1"/>
      <c r="G3" s="1"/>
      <c r="H3" s="1"/>
    </row>
    <row r="4" spans="2:16" ht="14.65" thickTop="1" x14ac:dyDescent="0.45"/>
    <row r="5" spans="2:16" x14ac:dyDescent="0.45">
      <c r="B5" s="3" t="s">
        <v>2</v>
      </c>
      <c r="C5" t="s">
        <v>8</v>
      </c>
      <c r="E5" s="7" t="s">
        <v>6</v>
      </c>
      <c r="F5" t="s">
        <v>7</v>
      </c>
    </row>
    <row r="6" spans="2:16" x14ac:dyDescent="0.45">
      <c r="B6" s="4" t="s">
        <v>3</v>
      </c>
      <c r="C6" t="s">
        <v>8</v>
      </c>
    </row>
    <row r="7" spans="2:16" x14ac:dyDescent="0.45">
      <c r="B7" s="5" t="s">
        <v>4</v>
      </c>
      <c r="C7" t="s">
        <v>9</v>
      </c>
    </row>
    <row r="8" spans="2:16" x14ac:dyDescent="0.45">
      <c r="B8" s="6" t="s">
        <v>5</v>
      </c>
      <c r="C8" t="s">
        <v>9</v>
      </c>
    </row>
    <row r="12" spans="2:16" ht="19.899999999999999" thickBot="1" x14ac:dyDescent="0.6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4.65" thickTop="1" x14ac:dyDescent="0.45">
      <c r="B13" s="2"/>
      <c r="C13" s="2"/>
      <c r="D13" s="2"/>
      <c r="E13" s="2"/>
      <c r="F13" s="2"/>
      <c r="G13" s="2"/>
      <c r="H13" s="2"/>
    </row>
    <row r="14" spans="2:16" x14ac:dyDescent="0.45">
      <c r="B14" s="2"/>
      <c r="C14" s="2"/>
      <c r="D14" s="2"/>
      <c r="E14" s="2"/>
      <c r="F14" s="2"/>
      <c r="G14" s="2"/>
      <c r="H14" s="2"/>
    </row>
    <row r="15" spans="2:16" x14ac:dyDescent="0.45">
      <c r="B15" s="2"/>
      <c r="C15" s="2"/>
      <c r="D15" s="2"/>
      <c r="E15" s="2"/>
      <c r="F15" s="2"/>
      <c r="G15" s="2"/>
      <c r="H15" s="2"/>
    </row>
    <row r="16" spans="2:16" x14ac:dyDescent="0.45">
      <c r="B16" s="2"/>
      <c r="C16" s="2"/>
      <c r="D16" s="2"/>
      <c r="E16" s="2"/>
      <c r="F16" s="2"/>
      <c r="G16" s="2"/>
      <c r="H16" s="2"/>
    </row>
    <row r="17" spans="2:8" x14ac:dyDescent="0.45">
      <c r="B17" s="2"/>
      <c r="C17" s="2"/>
      <c r="D17" s="2"/>
      <c r="E17" s="2"/>
      <c r="F17" s="2"/>
      <c r="G17" s="2"/>
      <c r="H17" s="2"/>
    </row>
    <row r="18" spans="2:8" x14ac:dyDescent="0.45">
      <c r="B18" s="2"/>
      <c r="C18" s="2"/>
      <c r="D18" s="2"/>
      <c r="E18" s="2"/>
      <c r="F18" s="2"/>
      <c r="G18" s="2"/>
      <c r="H18" s="2"/>
    </row>
    <row r="19" spans="2:8" x14ac:dyDescent="0.45">
      <c r="B19" s="2"/>
      <c r="C19" s="2"/>
      <c r="D19" s="2"/>
      <c r="E19" s="2"/>
      <c r="F19" s="2"/>
      <c r="G19" s="2"/>
      <c r="H19" s="2"/>
    </row>
    <row r="20" spans="2:8" x14ac:dyDescent="0.45">
      <c r="B20" s="2"/>
      <c r="C20" s="2"/>
      <c r="D20" s="2"/>
      <c r="E20" s="2"/>
      <c r="F20" s="2"/>
      <c r="G20" s="2"/>
      <c r="H20" s="2"/>
    </row>
    <row r="21" spans="2:8" x14ac:dyDescent="0.4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N296"/>
  <sheetViews>
    <sheetView topLeftCell="C1" zoomScale="90" zoomScaleNormal="90" workbookViewId="0">
      <selection activeCell="D33" sqref="D33"/>
    </sheetView>
  </sheetViews>
  <sheetFormatPr defaultRowHeight="14.25" x14ac:dyDescent="0.45"/>
  <cols>
    <col min="1" max="1" width="17.86328125" bestFit="1" customWidth="1"/>
    <col min="2" max="2" width="18.86328125" bestFit="1" customWidth="1"/>
    <col min="3" max="3" width="9.3984375" bestFit="1" customWidth="1"/>
    <col min="4" max="4" width="14.59765625" bestFit="1" customWidth="1"/>
    <col min="5" max="5" width="18" bestFit="1" customWidth="1"/>
    <col min="6" max="6" width="14.73046875" bestFit="1" customWidth="1"/>
    <col min="7" max="7" width="22" bestFit="1" customWidth="1"/>
    <col min="8" max="8" width="20.59765625" bestFit="1" customWidth="1"/>
    <col min="9" max="9" width="20.59765625" customWidth="1"/>
    <col min="10" max="10" width="16.73046875" bestFit="1" customWidth="1"/>
    <col min="11" max="11" width="21.265625" bestFit="1" customWidth="1"/>
    <col min="12" max="12" width="12.73046875" bestFit="1" customWidth="1"/>
    <col min="13" max="13" width="10.59765625" bestFit="1" customWidth="1"/>
  </cols>
  <sheetData>
    <row r="1" spans="1:14" ht="28.5" x14ac:dyDescent="0.4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  <c r="N1" t="s">
        <v>330</v>
      </c>
    </row>
    <row r="2" spans="1:14" ht="16.5" customHeight="1" x14ac:dyDescent="0.4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  <c r="N2" s="19"/>
    </row>
    <row r="3" spans="1:14" ht="16.5" hidden="1" customHeight="1" x14ac:dyDescent="0.4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  <c r="N3" s="19"/>
    </row>
    <row r="4" spans="1:14" ht="16.5" customHeight="1" x14ac:dyDescent="0.4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  <c r="N4" s="19"/>
    </row>
    <row r="5" spans="1:14" ht="16.5" hidden="1" customHeight="1" x14ac:dyDescent="0.4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  <c r="N5" s="19"/>
    </row>
    <row r="6" spans="1:14" ht="16.5" customHeight="1" x14ac:dyDescent="0.4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  <c r="N6" s="19"/>
    </row>
    <row r="7" spans="1:14" ht="16.5" hidden="1" customHeight="1" x14ac:dyDescent="0.4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  <c r="N7" s="19"/>
    </row>
    <row r="8" spans="1:14" ht="16.5" customHeight="1" x14ac:dyDescent="0.4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  <c r="N8" s="19"/>
    </row>
    <row r="9" spans="1:14" ht="16.5" customHeight="1" x14ac:dyDescent="0.4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  <c r="N9" s="19"/>
    </row>
    <row r="10" spans="1:14" ht="16.5" hidden="1" customHeight="1" x14ac:dyDescent="0.4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  <c r="N10" s="19"/>
    </row>
    <row r="11" spans="1:14" ht="16.5" customHeight="1" x14ac:dyDescent="0.4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  <c r="N11" s="19"/>
    </row>
    <row r="12" spans="1:14" ht="16.5" hidden="1" customHeight="1" x14ac:dyDescent="0.4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  <c r="N12" s="19"/>
    </row>
    <row r="13" spans="1:14" ht="16.5" customHeight="1" x14ac:dyDescent="0.4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  <c r="N13" s="19"/>
    </row>
    <row r="14" spans="1:14" ht="16.5" hidden="1" customHeight="1" x14ac:dyDescent="0.4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  <c r="N14" s="19"/>
    </row>
    <row r="15" spans="1:14" ht="16.5" customHeight="1" x14ac:dyDescent="0.4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  <c r="N15" s="19"/>
    </row>
    <row r="16" spans="1:14" ht="16.5" hidden="1" customHeight="1" x14ac:dyDescent="0.4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  <c r="N16" s="19"/>
    </row>
    <row r="17" spans="1:14" ht="16.5" customHeight="1" x14ac:dyDescent="0.4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  <c r="N17" s="19"/>
    </row>
    <row r="18" spans="1:14" ht="16.5" hidden="1" customHeight="1" x14ac:dyDescent="0.4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  <c r="N18" s="19"/>
    </row>
    <row r="19" spans="1:14" ht="16.5" customHeight="1" x14ac:dyDescent="0.4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  <c r="N19" s="19"/>
    </row>
    <row r="20" spans="1:14" ht="16.5" hidden="1" customHeight="1" x14ac:dyDescent="0.4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  <c r="N20" s="19"/>
    </row>
    <row r="21" spans="1:14" ht="16.5" customHeight="1" x14ac:dyDescent="0.4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  <c r="N21" s="19"/>
    </row>
    <row r="22" spans="1:14" ht="16.5" hidden="1" customHeight="1" x14ac:dyDescent="0.4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  <c r="N22" s="19"/>
    </row>
    <row r="23" spans="1:14" ht="16.5" customHeight="1" x14ac:dyDescent="0.4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  <c r="N23" s="19"/>
    </row>
    <row r="24" spans="1:14" ht="16.5" hidden="1" customHeight="1" x14ac:dyDescent="0.4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  <c r="N24" s="19"/>
    </row>
    <row r="25" spans="1:14" ht="16.5" customHeight="1" x14ac:dyDescent="0.4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  <c r="N25" s="19"/>
    </row>
    <row r="26" spans="1:14" ht="16.5" hidden="1" customHeight="1" x14ac:dyDescent="0.4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  <c r="N26" s="19"/>
    </row>
    <row r="27" spans="1:14" ht="16.5" customHeight="1" x14ac:dyDescent="0.4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  <c r="N27" s="19"/>
    </row>
    <row r="28" spans="1:14" ht="16.5" hidden="1" customHeight="1" x14ac:dyDescent="0.4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  <c r="N28" s="19"/>
    </row>
    <row r="29" spans="1:14" ht="16.5" customHeight="1" x14ac:dyDescent="0.4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  <c r="N29" s="19"/>
    </row>
    <row r="30" spans="1:14" ht="16.5" hidden="1" customHeight="1" x14ac:dyDescent="0.4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  <c r="N30" s="19"/>
    </row>
    <row r="31" spans="1:14" ht="16.5" customHeight="1" x14ac:dyDescent="0.4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  <c r="N31" s="19"/>
    </row>
    <row r="32" spans="1:14" ht="16.5" hidden="1" customHeight="1" x14ac:dyDescent="0.4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  <c r="N32" s="19"/>
    </row>
    <row r="33" spans="1:14" ht="16.5" customHeight="1" x14ac:dyDescent="0.4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  <c r="N33" s="19"/>
    </row>
    <row r="34" spans="1:14" ht="16.5" hidden="1" customHeight="1" x14ac:dyDescent="0.4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  <c r="N34" s="19"/>
    </row>
    <row r="35" spans="1:14" ht="16.5" customHeight="1" x14ac:dyDescent="0.4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  <c r="N35" s="19"/>
    </row>
    <row r="36" spans="1:14" ht="16.5" hidden="1" customHeight="1" x14ac:dyDescent="0.4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  <c r="N36" s="19"/>
    </row>
    <row r="37" spans="1:14" ht="16.5" customHeight="1" x14ac:dyDescent="0.4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  <c r="N37" s="19"/>
    </row>
    <row r="38" spans="1:14" ht="16.5" hidden="1" customHeight="1" x14ac:dyDescent="0.4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  <c r="N38" s="19"/>
    </row>
    <row r="39" spans="1:14" ht="16.5" customHeight="1" x14ac:dyDescent="0.4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  <c r="N39" s="19"/>
    </row>
    <row r="40" spans="1:14" ht="16.5" hidden="1" customHeight="1" x14ac:dyDescent="0.4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  <c r="N40" s="19"/>
    </row>
    <row r="41" spans="1:14" ht="16.5" customHeight="1" x14ac:dyDescent="0.4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  <c r="N41" s="19"/>
    </row>
    <row r="42" spans="1:14" ht="16.5" hidden="1" customHeight="1" x14ac:dyDescent="0.4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  <c r="N42" s="19"/>
    </row>
    <row r="43" spans="1:14" ht="16.5" customHeight="1" x14ac:dyDescent="0.4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  <c r="N43" s="19"/>
    </row>
    <row r="44" spans="1:14" ht="16.5" hidden="1" customHeight="1" x14ac:dyDescent="0.4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  <c r="N44" s="19"/>
    </row>
    <row r="45" spans="1:14" ht="16.5" customHeight="1" x14ac:dyDescent="0.4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  <c r="N45" s="19"/>
    </row>
    <row r="46" spans="1:14" ht="16.5" hidden="1" customHeight="1" x14ac:dyDescent="0.4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  <c r="N46" s="19"/>
    </row>
    <row r="47" spans="1:14" ht="16.5" customHeight="1" x14ac:dyDescent="0.4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  <c r="N47" s="19"/>
    </row>
    <row r="48" spans="1:14" ht="16.5" hidden="1" customHeight="1" x14ac:dyDescent="0.4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  <c r="N48" s="19"/>
    </row>
    <row r="49" spans="1:14" ht="16.5" customHeight="1" x14ac:dyDescent="0.4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  <c r="N49" s="19"/>
    </row>
    <row r="50" spans="1:14" ht="16.5" hidden="1" customHeight="1" x14ac:dyDescent="0.4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  <c r="N50" s="19"/>
    </row>
    <row r="51" spans="1:14" ht="16.5" customHeight="1" x14ac:dyDescent="0.4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  <c r="N51" s="19"/>
    </row>
    <row r="52" spans="1:14" ht="16.5" hidden="1" customHeight="1" x14ac:dyDescent="0.4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  <c r="N52" s="19"/>
    </row>
    <row r="53" spans="1:14" ht="16.5" customHeight="1" x14ac:dyDescent="0.4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  <c r="N53" s="19"/>
    </row>
    <row r="54" spans="1:14" ht="16.5" hidden="1" customHeight="1" x14ac:dyDescent="0.4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  <c r="N54" s="19"/>
    </row>
    <row r="55" spans="1:14" ht="16.5" customHeight="1" x14ac:dyDescent="0.4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  <c r="N55" s="19"/>
    </row>
    <row r="56" spans="1:14" ht="16.5" hidden="1" customHeight="1" x14ac:dyDescent="0.4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  <c r="N56" s="19"/>
    </row>
    <row r="57" spans="1:14" ht="16.5" customHeight="1" x14ac:dyDescent="0.4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  <c r="N57" s="19"/>
    </row>
    <row r="58" spans="1:14" ht="16.5" hidden="1" customHeight="1" x14ac:dyDescent="0.4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  <c r="N58" s="19"/>
    </row>
    <row r="59" spans="1:14" ht="16.5" customHeight="1" x14ac:dyDescent="0.4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  <c r="N59" s="19"/>
    </row>
    <row r="60" spans="1:14" ht="16.5" hidden="1" customHeight="1" x14ac:dyDescent="0.4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  <c r="N60" s="19"/>
    </row>
    <row r="61" spans="1:14" ht="16.5" customHeight="1" x14ac:dyDescent="0.4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  <c r="N61" s="19"/>
    </row>
    <row r="62" spans="1:14" ht="16.5" hidden="1" customHeight="1" x14ac:dyDescent="0.4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  <c r="N62" s="19"/>
    </row>
    <row r="63" spans="1:14" ht="16.5" customHeight="1" x14ac:dyDescent="0.4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  <c r="N63" s="19"/>
    </row>
    <row r="64" spans="1:14" ht="16.5" hidden="1" customHeight="1" x14ac:dyDescent="0.4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  <c r="N64" s="19"/>
    </row>
    <row r="65" spans="1:14" ht="16.5" customHeight="1" x14ac:dyDescent="0.4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  <c r="N65" s="19"/>
    </row>
    <row r="66" spans="1:14" ht="16.5" hidden="1" customHeight="1" x14ac:dyDescent="0.4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  <c r="N66" s="19"/>
    </row>
    <row r="67" spans="1:14" ht="16.5" hidden="1" customHeight="1" x14ac:dyDescent="0.4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  <c r="N67" s="19"/>
    </row>
    <row r="68" spans="1:14" ht="16.5" customHeight="1" x14ac:dyDescent="0.4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  <c r="N68" s="19"/>
    </row>
    <row r="69" spans="1:14" ht="16.5" hidden="1" customHeight="1" x14ac:dyDescent="0.4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  <c r="N69" s="19"/>
    </row>
    <row r="70" spans="1:14" ht="16.5" customHeight="1" x14ac:dyDescent="0.4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  <c r="N70" s="19"/>
    </row>
    <row r="71" spans="1:14" ht="16.5" hidden="1" customHeight="1" x14ac:dyDescent="0.4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  <c r="N71" s="19"/>
    </row>
    <row r="72" spans="1:14" ht="16.5" customHeight="1" x14ac:dyDescent="0.4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  <c r="N72" s="19"/>
    </row>
    <row r="73" spans="1:14" ht="16.5" hidden="1" customHeight="1" x14ac:dyDescent="0.4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  <c r="N73" s="19"/>
    </row>
    <row r="74" spans="1:14" ht="16.5" customHeight="1" x14ac:dyDescent="0.4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  <c r="N74" s="19"/>
    </row>
    <row r="75" spans="1:14" ht="16.5" hidden="1" customHeight="1" x14ac:dyDescent="0.4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  <c r="N75" s="19"/>
    </row>
    <row r="76" spans="1:14" ht="16.5" customHeight="1" x14ac:dyDescent="0.4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  <c r="N76" s="19"/>
    </row>
    <row r="77" spans="1:14" ht="16.5" hidden="1" customHeight="1" x14ac:dyDescent="0.4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  <c r="N77" s="19"/>
    </row>
    <row r="78" spans="1:14" ht="16.5" customHeight="1" x14ac:dyDescent="0.4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  <c r="N78" s="19"/>
    </row>
    <row r="79" spans="1:14" ht="16.5" hidden="1" customHeight="1" x14ac:dyDescent="0.4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  <c r="N79" s="19"/>
    </row>
    <row r="80" spans="1:14" ht="16.5" customHeight="1" x14ac:dyDescent="0.4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  <c r="N80" s="19"/>
    </row>
    <row r="81" spans="1:14" ht="16.5" hidden="1" customHeight="1" x14ac:dyDescent="0.4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  <c r="N81" s="19"/>
    </row>
    <row r="82" spans="1:14" ht="16.5" customHeight="1" x14ac:dyDescent="0.4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  <c r="N82" s="19"/>
    </row>
    <row r="83" spans="1:14" ht="16.5" hidden="1" customHeight="1" x14ac:dyDescent="0.4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  <c r="N83" s="19"/>
    </row>
    <row r="84" spans="1:14" ht="16.5" customHeight="1" x14ac:dyDescent="0.4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  <c r="N84" s="19"/>
    </row>
    <row r="85" spans="1:14" ht="16.5" hidden="1" customHeight="1" x14ac:dyDescent="0.4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  <c r="N85" s="19"/>
    </row>
    <row r="86" spans="1:14" ht="16.5" customHeight="1" x14ac:dyDescent="0.4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  <c r="N86" s="19"/>
    </row>
    <row r="87" spans="1:14" ht="16.5" hidden="1" customHeight="1" x14ac:dyDescent="0.4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  <c r="N87" s="19"/>
    </row>
    <row r="88" spans="1:14" ht="16.5" customHeight="1" x14ac:dyDescent="0.4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  <c r="N88" s="19"/>
    </row>
    <row r="89" spans="1:14" ht="16.5" hidden="1" customHeight="1" x14ac:dyDescent="0.4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  <c r="N89" s="19"/>
    </row>
    <row r="90" spans="1:14" ht="16.5" customHeight="1" x14ac:dyDescent="0.4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  <c r="N90" s="19"/>
    </row>
    <row r="91" spans="1:14" ht="16.5" hidden="1" customHeight="1" x14ac:dyDescent="0.4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  <c r="N91" s="19"/>
    </row>
    <row r="92" spans="1:14" ht="16.5" customHeight="1" x14ac:dyDescent="0.4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  <c r="N92" s="19"/>
    </row>
    <row r="93" spans="1:14" ht="16.5" hidden="1" customHeight="1" x14ac:dyDescent="0.4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  <c r="N93" s="19"/>
    </row>
    <row r="94" spans="1:14" ht="16.5" customHeight="1" x14ac:dyDescent="0.4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  <c r="N94" s="19"/>
    </row>
    <row r="95" spans="1:14" ht="16.5" hidden="1" customHeight="1" x14ac:dyDescent="0.4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  <c r="N95" s="19"/>
    </row>
    <row r="96" spans="1:14" ht="16.5" customHeight="1" x14ac:dyDescent="0.4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  <c r="N96" s="19"/>
    </row>
    <row r="97" spans="1:14" ht="16.5" hidden="1" customHeight="1" x14ac:dyDescent="0.4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  <c r="N97" s="19"/>
    </row>
    <row r="98" spans="1:14" ht="16.5" customHeight="1" x14ac:dyDescent="0.4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  <c r="N98" s="19"/>
    </row>
    <row r="99" spans="1:14" ht="16.5" hidden="1" customHeight="1" x14ac:dyDescent="0.4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  <c r="N99" s="19"/>
    </row>
    <row r="100" spans="1:14" ht="16.5" customHeight="1" x14ac:dyDescent="0.4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  <c r="N100" s="19"/>
    </row>
    <row r="101" spans="1:14" ht="16.5" hidden="1" customHeight="1" x14ac:dyDescent="0.4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  <c r="N101" s="19"/>
    </row>
    <row r="102" spans="1:14" ht="16.5" customHeight="1" x14ac:dyDescent="0.4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  <c r="N102" s="19"/>
    </row>
    <row r="103" spans="1:14" ht="16.5" hidden="1" customHeight="1" x14ac:dyDescent="0.4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  <c r="N103" s="19"/>
    </row>
    <row r="104" spans="1:14" ht="16.5" customHeight="1" x14ac:dyDescent="0.4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  <c r="N104" s="19"/>
    </row>
    <row r="105" spans="1:14" ht="16.5" hidden="1" customHeight="1" x14ac:dyDescent="0.4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  <c r="N105" s="19"/>
    </row>
    <row r="106" spans="1:14" ht="16.5" customHeight="1" x14ac:dyDescent="0.4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  <c r="N106" s="19"/>
    </row>
    <row r="107" spans="1:14" ht="16.5" customHeight="1" x14ac:dyDescent="0.4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  <c r="N107" s="19"/>
    </row>
    <row r="108" spans="1:14" ht="16.5" hidden="1" customHeight="1" x14ac:dyDescent="0.4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  <c r="N108" s="19"/>
    </row>
    <row r="109" spans="1:14" ht="16.5" customHeight="1" x14ac:dyDescent="0.4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  <c r="N109" s="19"/>
    </row>
    <row r="110" spans="1:14" ht="16.5" hidden="1" customHeight="1" x14ac:dyDescent="0.4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  <c r="N110" s="19"/>
    </row>
    <row r="111" spans="1:14" ht="16.5" customHeight="1" x14ac:dyDescent="0.4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  <c r="N111" s="19"/>
    </row>
    <row r="112" spans="1:14" ht="16.5" hidden="1" customHeight="1" x14ac:dyDescent="0.4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  <c r="N112" s="19"/>
    </row>
    <row r="113" spans="1:14" ht="16.5" customHeight="1" x14ac:dyDescent="0.4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  <c r="N113" s="19"/>
    </row>
    <row r="114" spans="1:14" ht="16.5" hidden="1" customHeight="1" x14ac:dyDescent="0.4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  <c r="N114" s="19"/>
    </row>
    <row r="115" spans="1:14" ht="16.5" customHeight="1" x14ac:dyDescent="0.4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  <c r="N115" s="19"/>
    </row>
    <row r="116" spans="1:14" ht="16.5" hidden="1" customHeight="1" x14ac:dyDescent="0.4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  <c r="N116" s="19"/>
    </row>
    <row r="117" spans="1:14" ht="16.5" customHeight="1" x14ac:dyDescent="0.4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  <c r="N117" s="19"/>
    </row>
    <row r="118" spans="1:14" ht="16.5" hidden="1" customHeight="1" x14ac:dyDescent="0.4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  <c r="N118" s="19"/>
    </row>
    <row r="119" spans="1:14" ht="16.5" customHeight="1" x14ac:dyDescent="0.4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  <c r="N119" s="19"/>
    </row>
    <row r="120" spans="1:14" ht="16.5" hidden="1" customHeight="1" x14ac:dyDescent="0.4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  <c r="N120" s="19"/>
    </row>
    <row r="121" spans="1:14" ht="16.5" customHeight="1" x14ac:dyDescent="0.4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  <c r="N121" s="19"/>
    </row>
    <row r="122" spans="1:14" ht="16.5" hidden="1" customHeight="1" x14ac:dyDescent="0.4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  <c r="N122" s="19"/>
    </row>
    <row r="123" spans="1:14" ht="16.5" customHeight="1" x14ac:dyDescent="0.4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  <c r="N123" s="19"/>
    </row>
    <row r="124" spans="1:14" ht="16.5" hidden="1" customHeight="1" x14ac:dyDescent="0.4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  <c r="N124" s="19"/>
    </row>
    <row r="125" spans="1:14" ht="16.5" customHeight="1" x14ac:dyDescent="0.4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  <c r="N125" s="19"/>
    </row>
    <row r="126" spans="1:14" ht="16.5" hidden="1" customHeight="1" x14ac:dyDescent="0.4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  <c r="N126" s="19"/>
    </row>
    <row r="127" spans="1:14" ht="16.5" customHeight="1" x14ac:dyDescent="0.4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  <c r="N127" s="19"/>
    </row>
    <row r="128" spans="1:14" ht="16.5" hidden="1" customHeight="1" x14ac:dyDescent="0.4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  <c r="N128" s="19"/>
    </row>
    <row r="129" spans="1:14" ht="16.5" customHeight="1" x14ac:dyDescent="0.4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  <c r="N129" s="19"/>
    </row>
    <row r="130" spans="1:14" ht="16.5" hidden="1" customHeight="1" x14ac:dyDescent="0.4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  <c r="N130" s="19"/>
    </row>
    <row r="131" spans="1:14" ht="16.5" customHeight="1" x14ac:dyDescent="0.4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  <c r="N131" s="19"/>
    </row>
    <row r="132" spans="1:14" ht="16.5" hidden="1" customHeight="1" x14ac:dyDescent="0.4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  <c r="N132" s="19"/>
    </row>
    <row r="133" spans="1:14" ht="16.5" customHeight="1" x14ac:dyDescent="0.4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  <c r="N133" s="19"/>
    </row>
    <row r="134" spans="1:14" ht="16.5" hidden="1" customHeight="1" x14ac:dyDescent="0.4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  <c r="N134" s="19"/>
    </row>
    <row r="135" spans="1:14" ht="16.5" customHeight="1" x14ac:dyDescent="0.4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  <c r="N135" s="19"/>
    </row>
    <row r="136" spans="1:14" ht="16.5" hidden="1" customHeight="1" x14ac:dyDescent="0.4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  <c r="N136" s="19"/>
    </row>
    <row r="137" spans="1:14" ht="16.5" customHeight="1" x14ac:dyDescent="0.4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  <c r="N137" s="19"/>
    </row>
    <row r="138" spans="1:14" ht="16.5" hidden="1" customHeight="1" x14ac:dyDescent="0.4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  <c r="N138" s="19"/>
    </row>
    <row r="139" spans="1:14" ht="16.5" customHeight="1" x14ac:dyDescent="0.4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  <c r="N139" s="19"/>
    </row>
    <row r="140" spans="1:14" ht="16.5" hidden="1" customHeight="1" x14ac:dyDescent="0.4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  <c r="N140" s="19"/>
    </row>
    <row r="141" spans="1:14" ht="16.5" customHeight="1" x14ac:dyDescent="0.4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  <c r="N141" s="19"/>
    </row>
    <row r="142" spans="1:14" ht="16.5" hidden="1" customHeight="1" x14ac:dyDescent="0.4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  <c r="N142" s="19"/>
    </row>
    <row r="143" spans="1:14" ht="16.5" customHeight="1" x14ac:dyDescent="0.4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  <c r="N143" s="19"/>
    </row>
    <row r="144" spans="1:14" ht="16.5" hidden="1" customHeight="1" x14ac:dyDescent="0.4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  <c r="N144" s="19"/>
    </row>
    <row r="145" spans="1:14" ht="16.5" customHeight="1" x14ac:dyDescent="0.4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  <c r="N145" s="19"/>
    </row>
    <row r="146" spans="1:14" ht="16.5" hidden="1" customHeight="1" x14ac:dyDescent="0.4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  <c r="N146" s="19"/>
    </row>
    <row r="147" spans="1:14" ht="16.5" customHeight="1" x14ac:dyDescent="0.4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  <c r="N147" s="19"/>
    </row>
    <row r="148" spans="1:14" ht="16.5" hidden="1" customHeight="1" x14ac:dyDescent="0.4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  <c r="N148" s="19"/>
    </row>
    <row r="149" spans="1:14" ht="16.5" customHeight="1" x14ac:dyDescent="0.4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  <c r="N149" s="19"/>
    </row>
    <row r="150" spans="1:14" ht="16.5" hidden="1" customHeight="1" x14ac:dyDescent="0.4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  <c r="N150" s="19"/>
    </row>
    <row r="151" spans="1:14" ht="16.5" customHeight="1" x14ac:dyDescent="0.4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  <c r="N151" s="19"/>
    </row>
    <row r="152" spans="1:14" ht="16.5" hidden="1" customHeight="1" x14ac:dyDescent="0.4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  <c r="N152" s="19"/>
    </row>
    <row r="153" spans="1:14" ht="16.5" customHeight="1" x14ac:dyDescent="0.4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  <c r="N153" s="19"/>
    </row>
    <row r="154" spans="1:14" ht="16.5" hidden="1" customHeight="1" x14ac:dyDescent="0.4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  <c r="N154" s="19"/>
    </row>
    <row r="155" spans="1:14" ht="16.5" customHeight="1" x14ac:dyDescent="0.4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  <c r="N155" s="19"/>
    </row>
    <row r="156" spans="1:14" ht="16.5" hidden="1" customHeight="1" x14ac:dyDescent="0.4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  <c r="N156" s="19"/>
    </row>
    <row r="157" spans="1:14" ht="16.5" customHeight="1" x14ac:dyDescent="0.4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  <c r="N157" s="19"/>
    </row>
    <row r="158" spans="1:14" ht="16.5" hidden="1" customHeight="1" x14ac:dyDescent="0.4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  <c r="N158" s="19"/>
    </row>
    <row r="159" spans="1:14" ht="16.5" customHeight="1" x14ac:dyDescent="0.4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  <c r="N159" s="19"/>
    </row>
    <row r="160" spans="1:14" ht="16.5" hidden="1" customHeight="1" x14ac:dyDescent="0.4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  <c r="N160" s="19"/>
    </row>
    <row r="161" spans="1:14" ht="16.5" customHeight="1" x14ac:dyDescent="0.4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  <c r="N161" s="19"/>
    </row>
    <row r="162" spans="1:14" ht="16.5" hidden="1" customHeight="1" x14ac:dyDescent="0.4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  <c r="N162" s="19"/>
    </row>
    <row r="163" spans="1:14" ht="16.5" customHeight="1" x14ac:dyDescent="0.4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  <c r="N163" s="19"/>
    </row>
    <row r="164" spans="1:14" ht="16.5" hidden="1" customHeight="1" x14ac:dyDescent="0.4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  <c r="N164" s="19"/>
    </row>
    <row r="165" spans="1:14" ht="16.5" customHeight="1" x14ac:dyDescent="0.4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  <c r="N165" s="19"/>
    </row>
    <row r="166" spans="1:14" ht="16.5" hidden="1" customHeight="1" x14ac:dyDescent="0.4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  <c r="N166" s="19"/>
    </row>
    <row r="167" spans="1:14" ht="16.5" customHeight="1" x14ac:dyDescent="0.4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  <c r="N167" s="19"/>
    </row>
    <row r="168" spans="1:14" ht="16.5" hidden="1" customHeight="1" x14ac:dyDescent="0.4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  <c r="N168" s="19"/>
    </row>
    <row r="169" spans="1:14" ht="16.5" customHeight="1" x14ac:dyDescent="0.4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  <c r="N169" s="19"/>
    </row>
    <row r="170" spans="1:14" ht="16.5" hidden="1" customHeight="1" x14ac:dyDescent="0.4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  <c r="N170" s="19"/>
    </row>
    <row r="171" spans="1:14" ht="16.5" customHeight="1" x14ac:dyDescent="0.4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  <c r="N171" s="19"/>
    </row>
    <row r="172" spans="1:14" ht="16.5" hidden="1" customHeight="1" x14ac:dyDescent="0.4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  <c r="N172" s="19"/>
    </row>
    <row r="173" spans="1:14" ht="16.5" customHeight="1" x14ac:dyDescent="0.4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  <c r="N173" s="19"/>
    </row>
    <row r="174" spans="1:14" ht="16.5" hidden="1" customHeight="1" x14ac:dyDescent="0.4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  <c r="N174" s="19"/>
    </row>
    <row r="175" spans="1:14" ht="16.5" customHeight="1" x14ac:dyDescent="0.4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  <c r="N175" s="19"/>
    </row>
    <row r="176" spans="1:14" ht="16.5" hidden="1" customHeight="1" x14ac:dyDescent="0.4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  <c r="N176" s="19"/>
    </row>
    <row r="177" spans="1:14" ht="16.5" customHeight="1" x14ac:dyDescent="0.4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  <c r="N177" s="19"/>
    </row>
    <row r="178" spans="1:14" ht="16.5" hidden="1" customHeight="1" x14ac:dyDescent="0.4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  <c r="N178" s="19"/>
    </row>
    <row r="179" spans="1:14" ht="16.5" customHeight="1" x14ac:dyDescent="0.4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  <c r="N179" s="19"/>
    </row>
    <row r="180" spans="1:14" ht="16.5" hidden="1" customHeight="1" x14ac:dyDescent="0.4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  <c r="N180" s="19"/>
    </row>
    <row r="181" spans="1:14" ht="16.5" customHeight="1" x14ac:dyDescent="0.4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  <c r="N181" s="19"/>
    </row>
    <row r="182" spans="1:14" ht="16.5" hidden="1" customHeight="1" x14ac:dyDescent="0.4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  <c r="N182" s="19"/>
    </row>
    <row r="183" spans="1:14" ht="16.5" customHeight="1" x14ac:dyDescent="0.4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  <c r="N183" s="19"/>
    </row>
    <row r="184" spans="1:14" ht="16.5" hidden="1" customHeight="1" x14ac:dyDescent="0.4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  <c r="N184" s="19"/>
    </row>
    <row r="185" spans="1:14" ht="16.5" customHeight="1" x14ac:dyDescent="0.4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  <c r="N185" s="19"/>
    </row>
    <row r="186" spans="1:14" ht="16.5" hidden="1" customHeight="1" x14ac:dyDescent="0.4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  <c r="N186" s="19"/>
    </row>
    <row r="187" spans="1:14" ht="16.5" customHeight="1" x14ac:dyDescent="0.4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  <c r="N187" s="19"/>
    </row>
    <row r="188" spans="1:14" ht="16.5" hidden="1" customHeight="1" x14ac:dyDescent="0.4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  <c r="N188" s="19"/>
    </row>
    <row r="189" spans="1:14" ht="16.5" customHeight="1" x14ac:dyDescent="0.4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  <c r="N189" s="19"/>
    </row>
    <row r="190" spans="1:14" ht="16.5" hidden="1" customHeight="1" x14ac:dyDescent="0.4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  <c r="N190" s="19"/>
    </row>
    <row r="191" spans="1:14" ht="16.5" customHeight="1" x14ac:dyDescent="0.4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  <c r="N191" s="19"/>
    </row>
    <row r="192" spans="1:14" ht="16.5" hidden="1" customHeight="1" x14ac:dyDescent="0.4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  <c r="N192" s="19"/>
    </row>
    <row r="193" spans="1:14" ht="16.5" customHeight="1" x14ac:dyDescent="0.4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  <c r="N193" s="19"/>
    </row>
    <row r="194" spans="1:14" ht="16.5" hidden="1" customHeight="1" x14ac:dyDescent="0.4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  <c r="N194" s="19"/>
    </row>
    <row r="195" spans="1:14" ht="16.5" customHeight="1" x14ac:dyDescent="0.4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  <c r="N195" s="19"/>
    </row>
    <row r="196" spans="1:14" ht="16.5" hidden="1" customHeight="1" x14ac:dyDescent="0.4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  <c r="N196" s="19"/>
    </row>
    <row r="197" spans="1:14" ht="16.5" customHeight="1" x14ac:dyDescent="0.4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  <c r="N197" s="19"/>
    </row>
    <row r="198" spans="1:14" ht="16.5" hidden="1" customHeight="1" x14ac:dyDescent="0.4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  <c r="N198" s="19"/>
    </row>
    <row r="199" spans="1:14" ht="16.5" customHeight="1" x14ac:dyDescent="0.4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  <c r="N199" s="19"/>
    </row>
    <row r="200" spans="1:14" ht="16.5" hidden="1" customHeight="1" x14ac:dyDescent="0.4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  <c r="N200" s="19"/>
    </row>
    <row r="201" spans="1:14" ht="16.5" customHeight="1" x14ac:dyDescent="0.4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  <c r="N201" s="19"/>
    </row>
    <row r="202" spans="1:14" ht="16.5" hidden="1" customHeight="1" x14ac:dyDescent="0.4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  <c r="N202" s="19"/>
    </row>
    <row r="203" spans="1:14" ht="16.5" customHeight="1" x14ac:dyDescent="0.4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  <c r="N203" s="19"/>
    </row>
    <row r="204" spans="1:14" ht="16.5" hidden="1" customHeight="1" x14ac:dyDescent="0.4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  <c r="N204" s="19"/>
    </row>
    <row r="205" spans="1:14" ht="16.5" customHeight="1" x14ac:dyDescent="0.4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  <c r="N205" s="19"/>
    </row>
    <row r="206" spans="1:14" ht="16.5" hidden="1" customHeight="1" x14ac:dyDescent="0.4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  <c r="N206" s="19"/>
    </row>
    <row r="207" spans="1:14" ht="16.5" customHeight="1" x14ac:dyDescent="0.4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  <c r="N207" s="19"/>
    </row>
    <row r="208" spans="1:14" ht="16.5" hidden="1" customHeight="1" x14ac:dyDescent="0.4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  <c r="N208" s="19"/>
    </row>
    <row r="209" spans="1:14" ht="16.5" customHeight="1" x14ac:dyDescent="0.4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  <c r="N209" s="19"/>
    </row>
    <row r="210" spans="1:14" ht="16.5" hidden="1" customHeight="1" x14ac:dyDescent="0.4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  <c r="N210" s="19"/>
    </row>
    <row r="211" spans="1:14" ht="16.5" customHeight="1" x14ac:dyDescent="0.4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  <c r="N211" s="19"/>
    </row>
    <row r="212" spans="1:14" ht="16.5" hidden="1" customHeight="1" x14ac:dyDescent="0.4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  <c r="N212" s="19"/>
    </row>
    <row r="213" spans="1:14" ht="16.5" customHeight="1" x14ac:dyDescent="0.4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  <c r="N213" s="19"/>
    </row>
    <row r="214" spans="1:14" ht="16.5" hidden="1" customHeight="1" x14ac:dyDescent="0.4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  <c r="N214" s="19"/>
    </row>
    <row r="215" spans="1:14" ht="16.5" customHeight="1" x14ac:dyDescent="0.4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  <c r="N215" s="19"/>
    </row>
    <row r="216" spans="1:14" ht="16.5" hidden="1" customHeight="1" x14ac:dyDescent="0.4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  <c r="N216" s="19"/>
    </row>
    <row r="217" spans="1:14" ht="16.5" customHeight="1" x14ac:dyDescent="0.4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  <c r="N217" s="19"/>
    </row>
    <row r="218" spans="1:14" ht="16.5" hidden="1" customHeight="1" x14ac:dyDescent="0.4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  <c r="N218" s="19"/>
    </row>
    <row r="219" spans="1:14" ht="16.5" customHeight="1" x14ac:dyDescent="0.4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  <c r="N219" s="19"/>
    </row>
    <row r="220" spans="1:14" ht="16.5" hidden="1" customHeight="1" x14ac:dyDescent="0.4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  <c r="N220" s="19"/>
    </row>
    <row r="221" spans="1:14" ht="16.5" customHeight="1" x14ac:dyDescent="0.4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  <c r="N221" s="19"/>
    </row>
    <row r="222" spans="1:14" ht="16.5" hidden="1" customHeight="1" x14ac:dyDescent="0.4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  <c r="N222" s="19"/>
    </row>
    <row r="223" spans="1:14" ht="16.5" customHeight="1" x14ac:dyDescent="0.4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  <c r="N223" s="19"/>
    </row>
    <row r="224" spans="1:14" ht="16.5" hidden="1" customHeight="1" x14ac:dyDescent="0.4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  <c r="N224" s="19"/>
    </row>
    <row r="225" spans="1:14" ht="16.5" customHeight="1" x14ac:dyDescent="0.4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  <c r="N225" s="19"/>
    </row>
    <row r="226" spans="1:14" ht="16.5" hidden="1" customHeight="1" x14ac:dyDescent="0.4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  <c r="N226" s="19"/>
    </row>
    <row r="227" spans="1:14" ht="16.5" customHeight="1" x14ac:dyDescent="0.4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  <c r="N227" s="19"/>
    </row>
    <row r="228" spans="1:14" ht="16.5" hidden="1" customHeight="1" x14ac:dyDescent="0.4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  <c r="N228" s="19"/>
    </row>
    <row r="229" spans="1:14" ht="16.5" customHeight="1" x14ac:dyDescent="0.4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  <c r="N229" s="19"/>
    </row>
    <row r="230" spans="1:14" ht="16.5" hidden="1" customHeight="1" x14ac:dyDescent="0.4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  <c r="N230" s="19"/>
    </row>
    <row r="231" spans="1:14" ht="16.5" customHeight="1" x14ac:dyDescent="0.4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  <c r="N231" s="19"/>
    </row>
    <row r="232" spans="1:14" ht="16.5" hidden="1" customHeight="1" x14ac:dyDescent="0.4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  <c r="N232" s="19"/>
    </row>
    <row r="233" spans="1:14" ht="16.5" customHeight="1" x14ac:dyDescent="0.4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  <c r="N233" s="19"/>
    </row>
    <row r="234" spans="1:14" ht="16.5" hidden="1" customHeight="1" x14ac:dyDescent="0.4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  <c r="N234" s="19"/>
    </row>
    <row r="235" spans="1:14" ht="16.5" customHeight="1" x14ac:dyDescent="0.4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  <c r="N235" s="19"/>
    </row>
    <row r="236" spans="1:14" ht="16.5" hidden="1" customHeight="1" x14ac:dyDescent="0.4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  <c r="N236" s="19"/>
    </row>
    <row r="237" spans="1:14" ht="16.5" customHeight="1" x14ac:dyDescent="0.4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  <c r="N237" s="19"/>
    </row>
    <row r="238" spans="1:14" ht="16.5" hidden="1" customHeight="1" x14ac:dyDescent="0.4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  <c r="N238" s="19"/>
    </row>
    <row r="239" spans="1:14" ht="16.5" customHeight="1" x14ac:dyDescent="0.4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  <c r="N239" s="19"/>
    </row>
    <row r="240" spans="1:14" ht="16.5" hidden="1" customHeight="1" x14ac:dyDescent="0.4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  <c r="N240" s="19"/>
    </row>
    <row r="241" spans="1:14" ht="16.5" customHeight="1" x14ac:dyDescent="0.4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  <c r="N241" s="19"/>
    </row>
    <row r="242" spans="1:14" ht="16.5" hidden="1" customHeight="1" x14ac:dyDescent="0.4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  <c r="N242" s="19"/>
    </row>
    <row r="243" spans="1:14" ht="16.5" customHeight="1" x14ac:dyDescent="0.4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  <c r="N243" s="19"/>
    </row>
    <row r="244" spans="1:14" ht="16.5" hidden="1" customHeight="1" x14ac:dyDescent="0.4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  <c r="N244" s="19"/>
    </row>
    <row r="245" spans="1:14" ht="16.5" customHeight="1" x14ac:dyDescent="0.4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  <c r="N245" s="19"/>
    </row>
    <row r="246" spans="1:14" ht="16.5" hidden="1" customHeight="1" x14ac:dyDescent="0.4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  <c r="N246" s="19"/>
    </row>
    <row r="247" spans="1:14" ht="16.5" customHeight="1" x14ac:dyDescent="0.4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  <c r="N247" s="19"/>
    </row>
    <row r="248" spans="1:14" ht="16.5" hidden="1" customHeight="1" x14ac:dyDescent="0.4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  <c r="N248" s="19"/>
    </row>
    <row r="249" spans="1:14" ht="16.5" customHeight="1" x14ac:dyDescent="0.4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  <c r="N249" s="19"/>
    </row>
    <row r="250" spans="1:14" ht="16.5" hidden="1" customHeight="1" x14ac:dyDescent="0.4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  <c r="N250" s="19"/>
    </row>
    <row r="251" spans="1:14" ht="16.5" customHeight="1" x14ac:dyDescent="0.4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  <c r="N251" s="19"/>
    </row>
    <row r="252" spans="1:14" ht="16.5" hidden="1" customHeight="1" x14ac:dyDescent="0.4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  <c r="N252" s="19"/>
    </row>
    <row r="253" spans="1:14" ht="16.5" customHeight="1" x14ac:dyDescent="0.4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  <c r="N253" s="19"/>
    </row>
    <row r="254" spans="1:14" ht="16.5" hidden="1" customHeight="1" x14ac:dyDescent="0.4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  <c r="N254" s="19"/>
    </row>
    <row r="255" spans="1:14" ht="16.5" customHeight="1" x14ac:dyDescent="0.4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  <c r="N255" s="19"/>
    </row>
    <row r="256" spans="1:14" ht="16.5" hidden="1" customHeight="1" x14ac:dyDescent="0.4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  <c r="N256" s="19"/>
    </row>
    <row r="257" spans="1:14" ht="16.5" customHeight="1" x14ac:dyDescent="0.4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  <c r="N257" s="19"/>
    </row>
    <row r="258" spans="1:14" ht="16.5" hidden="1" customHeight="1" x14ac:dyDescent="0.4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  <c r="N258" s="19"/>
    </row>
    <row r="259" spans="1:14" ht="16.5" customHeight="1" x14ac:dyDescent="0.4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  <c r="N259" s="19"/>
    </row>
    <row r="260" spans="1:14" ht="16.5" hidden="1" customHeight="1" x14ac:dyDescent="0.4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  <c r="N260" s="19"/>
    </row>
    <row r="261" spans="1:14" ht="16.5" customHeight="1" x14ac:dyDescent="0.4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  <c r="N261" s="19"/>
    </row>
    <row r="262" spans="1:14" ht="16.5" hidden="1" customHeight="1" x14ac:dyDescent="0.4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  <c r="N262" s="19"/>
    </row>
    <row r="263" spans="1:14" ht="16.5" customHeight="1" x14ac:dyDescent="0.4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  <c r="N263" s="19"/>
    </row>
    <row r="264" spans="1:14" ht="16.5" hidden="1" customHeight="1" x14ac:dyDescent="0.4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  <c r="N264" s="19"/>
    </row>
    <row r="265" spans="1:14" ht="16.5" customHeight="1" x14ac:dyDescent="0.4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  <c r="N265" s="19"/>
    </row>
    <row r="266" spans="1:14" ht="16.5" hidden="1" customHeight="1" x14ac:dyDescent="0.4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  <c r="N266" s="19"/>
    </row>
    <row r="267" spans="1:14" ht="16.5" customHeight="1" x14ac:dyDescent="0.4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  <c r="N267" s="19"/>
    </row>
    <row r="268" spans="1:14" ht="16.5" hidden="1" customHeight="1" x14ac:dyDescent="0.4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  <c r="N268" s="19"/>
    </row>
    <row r="269" spans="1:14" ht="16.5" customHeight="1" x14ac:dyDescent="0.4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  <c r="N269" s="19"/>
    </row>
    <row r="270" spans="1:14" ht="16.5" hidden="1" customHeight="1" x14ac:dyDescent="0.4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  <c r="N270" s="19"/>
    </row>
    <row r="271" spans="1:14" ht="16.5" customHeight="1" x14ac:dyDescent="0.4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  <c r="N271" s="19"/>
    </row>
    <row r="272" spans="1:14" ht="16.5" hidden="1" customHeight="1" x14ac:dyDescent="0.4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  <c r="N272" s="19"/>
    </row>
    <row r="273" spans="1:14" ht="16.5" customHeight="1" x14ac:dyDescent="0.4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  <c r="N273" s="19"/>
    </row>
    <row r="274" spans="1:14" ht="16.5" hidden="1" customHeight="1" x14ac:dyDescent="0.4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  <c r="N274" s="19"/>
    </row>
    <row r="275" spans="1:14" ht="16.5" customHeight="1" x14ac:dyDescent="0.4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  <c r="N275" s="19"/>
    </row>
    <row r="276" spans="1:14" ht="16.5" hidden="1" customHeight="1" x14ac:dyDescent="0.4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  <c r="N276" s="19"/>
    </row>
    <row r="277" spans="1:14" ht="16.5" customHeight="1" x14ac:dyDescent="0.4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  <c r="N277" s="19"/>
    </row>
    <row r="278" spans="1:14" ht="16.5" hidden="1" customHeight="1" x14ac:dyDescent="0.4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  <c r="N278" s="19"/>
    </row>
    <row r="279" spans="1:14" ht="16.5" customHeight="1" x14ac:dyDescent="0.4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  <c r="N279" s="19"/>
    </row>
    <row r="280" spans="1:14" ht="16.5" hidden="1" customHeight="1" x14ac:dyDescent="0.4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  <c r="N280" s="19"/>
    </row>
    <row r="281" spans="1:14" ht="16.5" customHeight="1" x14ac:dyDescent="0.4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  <c r="N281" s="19"/>
    </row>
    <row r="282" spans="1:14" ht="16.5" hidden="1" customHeight="1" x14ac:dyDescent="0.4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  <c r="N282" s="19"/>
    </row>
    <row r="283" spans="1:14" ht="16.5" customHeight="1" x14ac:dyDescent="0.4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  <c r="N283" s="19"/>
    </row>
    <row r="284" spans="1:14" ht="16.5" hidden="1" customHeight="1" x14ac:dyDescent="0.4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  <c r="N284" s="19"/>
    </row>
    <row r="285" spans="1:14" ht="16.5" customHeight="1" x14ac:dyDescent="0.4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  <c r="N285" s="19"/>
    </row>
    <row r="286" spans="1:14" ht="16.5" hidden="1" customHeight="1" x14ac:dyDescent="0.4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  <c r="N286" s="19"/>
    </row>
    <row r="287" spans="1:14" ht="16.5" customHeight="1" x14ac:dyDescent="0.4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  <c r="N287" s="19"/>
    </row>
    <row r="288" spans="1:14" ht="16.5" hidden="1" customHeight="1" x14ac:dyDescent="0.4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  <c r="N288" s="19"/>
    </row>
    <row r="289" spans="1:14" ht="16.5" customHeight="1" x14ac:dyDescent="0.4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  <c r="N289" s="19"/>
    </row>
    <row r="290" spans="1:14" ht="16.5" hidden="1" customHeight="1" x14ac:dyDescent="0.4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  <c r="N290" s="19"/>
    </row>
    <row r="291" spans="1:14" ht="16.5" customHeight="1" x14ac:dyDescent="0.4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  <c r="N291" s="19"/>
    </row>
    <row r="292" spans="1:14" ht="16.5" hidden="1" customHeight="1" x14ac:dyDescent="0.4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  <c r="N292" s="19"/>
    </row>
    <row r="293" spans="1:14" ht="16.5" customHeight="1" x14ac:dyDescent="0.4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  <c r="N293" s="19"/>
    </row>
    <row r="294" spans="1:14" ht="16.5" hidden="1" customHeight="1" x14ac:dyDescent="0.4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  <c r="N294" s="19"/>
    </row>
    <row r="295" spans="1:14" ht="16.5" customHeight="1" x14ac:dyDescent="0.4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  <c r="N295" s="19"/>
    </row>
    <row r="296" spans="1:14" ht="16.5" hidden="1" customHeight="1" x14ac:dyDescent="0.4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  <c r="N296" s="19"/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2:M24"/>
  <sheetViews>
    <sheetView showGridLines="0" zoomScale="72" workbookViewId="0">
      <selection activeCell="F12" sqref="F12:G23"/>
    </sheetView>
  </sheetViews>
  <sheetFormatPr defaultRowHeight="14.25" x14ac:dyDescent="0.45"/>
  <cols>
    <col min="3" max="3" width="17.3984375" bestFit="1" customWidth="1"/>
    <col min="4" max="4" width="23" bestFit="1" customWidth="1"/>
    <col min="5" max="5" width="24.6640625" bestFit="1" customWidth="1"/>
    <col min="6" max="6" width="17.3984375" bestFit="1" customWidth="1"/>
    <col min="7" max="7" width="23" bestFit="1" customWidth="1"/>
    <col min="8" max="8" width="5.3984375" customWidth="1"/>
    <col min="9" max="9" width="17.3984375" bestFit="1" customWidth="1"/>
    <col min="10" max="10" width="23" bestFit="1" customWidth="1"/>
    <col min="11" max="11" width="8.53125" customWidth="1"/>
    <col min="12" max="12" width="17.3984375" bestFit="1" customWidth="1"/>
    <col min="13" max="13" width="23" bestFit="1" customWidth="1"/>
    <col min="14" max="15" width="9.73046875" bestFit="1" customWidth="1"/>
    <col min="16" max="16" width="15.59765625" bestFit="1" customWidth="1"/>
    <col min="17" max="17" width="12.1328125" bestFit="1" customWidth="1"/>
  </cols>
  <sheetData>
    <row r="2" spans="3:13" x14ac:dyDescent="0.45">
      <c r="C2" t="s">
        <v>327</v>
      </c>
    </row>
    <row r="3" spans="3:13" x14ac:dyDescent="0.45">
      <c r="C3" s="12" t="s">
        <v>313</v>
      </c>
      <c r="D3" t="s">
        <v>328</v>
      </c>
      <c r="F3" s="12" t="s">
        <v>313</v>
      </c>
      <c r="G3" t="s">
        <v>328</v>
      </c>
      <c r="I3" s="12" t="s">
        <v>313</v>
      </c>
      <c r="J3" t="s">
        <v>328</v>
      </c>
      <c r="L3" s="12" t="s">
        <v>313</v>
      </c>
      <c r="M3" t="s">
        <v>328</v>
      </c>
    </row>
    <row r="4" spans="3:13" x14ac:dyDescent="0.45">
      <c r="C4" s="13" t="s">
        <v>23</v>
      </c>
      <c r="D4" s="14">
        <v>197</v>
      </c>
      <c r="E4">
        <f>GETPIVOTDATA("Subscriber ID",$C$3,"EA Play Season Pass","No")</f>
        <v>197</v>
      </c>
      <c r="F4" s="13" t="s">
        <v>23</v>
      </c>
      <c r="G4" s="14">
        <v>101</v>
      </c>
      <c r="I4" s="13" t="s">
        <v>23</v>
      </c>
      <c r="J4" s="14">
        <v>147</v>
      </c>
      <c r="L4" s="13" t="s">
        <v>24</v>
      </c>
      <c r="M4" s="14">
        <v>71</v>
      </c>
    </row>
    <row r="5" spans="3:13" x14ac:dyDescent="0.45">
      <c r="C5" s="13" t="s">
        <v>19</v>
      </c>
      <c r="D5" s="14">
        <v>98</v>
      </c>
      <c r="E5">
        <f>GETPIVOTDATA("Subscriber ID",$C$3,"EA Play Season Pass","Yes")</f>
        <v>98</v>
      </c>
      <c r="F5" s="13" t="s">
        <v>19</v>
      </c>
      <c r="G5" s="14">
        <v>194</v>
      </c>
      <c r="I5" s="13" t="s">
        <v>19</v>
      </c>
      <c r="J5" s="14">
        <v>148</v>
      </c>
      <c r="L5" s="13" t="s">
        <v>20</v>
      </c>
      <c r="M5" s="14">
        <v>139</v>
      </c>
    </row>
    <row r="6" spans="3:13" x14ac:dyDescent="0.45">
      <c r="C6" s="13" t="s">
        <v>314</v>
      </c>
      <c r="D6" s="14">
        <v>295</v>
      </c>
      <c r="E6">
        <f>GETPIVOTDATA("Subscriber ID",$C$3)</f>
        <v>295</v>
      </c>
      <c r="F6" s="13" t="s">
        <v>314</v>
      </c>
      <c r="G6" s="14">
        <v>295</v>
      </c>
      <c r="I6" s="13" t="s">
        <v>314</v>
      </c>
      <c r="J6" s="14">
        <v>295</v>
      </c>
      <c r="L6" s="13" t="s">
        <v>27</v>
      </c>
      <c r="M6" s="14">
        <v>85</v>
      </c>
    </row>
    <row r="7" spans="3:13" x14ac:dyDescent="0.45">
      <c r="L7" s="13" t="s">
        <v>314</v>
      </c>
      <c r="M7" s="14">
        <v>295</v>
      </c>
    </row>
    <row r="9" spans="3:13" x14ac:dyDescent="0.45">
      <c r="C9" t="s">
        <v>329</v>
      </c>
      <c r="D9" t="s">
        <v>331</v>
      </c>
    </row>
    <row r="10" spans="3:13" x14ac:dyDescent="0.45">
      <c r="C10" s="15">
        <v>3880</v>
      </c>
      <c r="D10" s="14">
        <v>2940</v>
      </c>
    </row>
    <row r="11" spans="3:13" x14ac:dyDescent="0.45">
      <c r="F11" s="12" t="s">
        <v>313</v>
      </c>
      <c r="G11" t="s">
        <v>328</v>
      </c>
    </row>
    <row r="12" spans="3:13" x14ac:dyDescent="0.45">
      <c r="C12" s="18">
        <f>GETPIVOTDATA("Soma de Minecraft Season Pass Price",$C$9)</f>
        <v>3880</v>
      </c>
      <c r="D12" s="18">
        <f>GETPIVOTDATA("Soma de EA Play Season Pass",$C$9)</f>
        <v>2940</v>
      </c>
      <c r="F12" s="13" t="s">
        <v>315</v>
      </c>
      <c r="G12" s="14">
        <v>2</v>
      </c>
    </row>
    <row r="13" spans="3:13" x14ac:dyDescent="0.45">
      <c r="F13" s="13" t="s">
        <v>316</v>
      </c>
      <c r="G13" s="14">
        <v>2</v>
      </c>
    </row>
    <row r="14" spans="3:13" x14ac:dyDescent="0.45">
      <c r="F14" s="13" t="s">
        <v>317</v>
      </c>
      <c r="G14" s="14">
        <v>31</v>
      </c>
    </row>
    <row r="15" spans="3:13" x14ac:dyDescent="0.45">
      <c r="F15" s="13" t="s">
        <v>318</v>
      </c>
      <c r="G15" s="14">
        <v>30</v>
      </c>
    </row>
    <row r="16" spans="3:13" x14ac:dyDescent="0.45">
      <c r="F16" s="13" t="s">
        <v>319</v>
      </c>
      <c r="G16" s="14">
        <v>31</v>
      </c>
    </row>
    <row r="17" spans="6:7" x14ac:dyDescent="0.45">
      <c r="F17" s="13" t="s">
        <v>320</v>
      </c>
      <c r="G17" s="14">
        <v>30</v>
      </c>
    </row>
    <row r="18" spans="6:7" x14ac:dyDescent="0.45">
      <c r="F18" s="13" t="s">
        <v>321</v>
      </c>
      <c r="G18" s="14">
        <v>31</v>
      </c>
    </row>
    <row r="19" spans="6:7" x14ac:dyDescent="0.45">
      <c r="F19" s="13" t="s">
        <v>322</v>
      </c>
      <c r="G19" s="14">
        <v>31</v>
      </c>
    </row>
    <row r="20" spans="6:7" x14ac:dyDescent="0.45">
      <c r="F20" s="13" t="s">
        <v>323</v>
      </c>
      <c r="G20" s="14">
        <v>30</v>
      </c>
    </row>
    <row r="21" spans="6:7" x14ac:dyDescent="0.45">
      <c r="F21" s="13" t="s">
        <v>324</v>
      </c>
      <c r="G21" s="14">
        <v>31</v>
      </c>
    </row>
    <row r="22" spans="6:7" x14ac:dyDescent="0.45">
      <c r="F22" s="13" t="s">
        <v>325</v>
      </c>
      <c r="G22" s="14">
        <v>30</v>
      </c>
    </row>
    <row r="23" spans="6:7" x14ac:dyDescent="0.45">
      <c r="F23" s="13" t="s">
        <v>326</v>
      </c>
      <c r="G23" s="14">
        <v>16</v>
      </c>
    </row>
    <row r="24" spans="6:7" x14ac:dyDescent="0.45">
      <c r="F24" s="13" t="s">
        <v>314</v>
      </c>
      <c r="G24" s="14">
        <v>295</v>
      </c>
    </row>
  </sheetData>
  <pageMargins left="0.511811024" right="0.511811024" top="0.78740157499999996" bottom="0.78740157499999996" header="0.31496062000000002" footer="0.31496062000000002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Y40"/>
  <sheetViews>
    <sheetView showGridLines="0" tabSelected="1" zoomScale="61" zoomScaleNormal="80" workbookViewId="0">
      <selection activeCell="F43" sqref="F43"/>
    </sheetView>
  </sheetViews>
  <sheetFormatPr defaultRowHeight="14.25" x14ac:dyDescent="0.45"/>
  <cols>
    <col min="1" max="1" width="20" customWidth="1"/>
    <col min="2" max="2" width="3.59765625" customWidth="1"/>
    <col min="12" max="12" width="6.59765625" customWidth="1"/>
  </cols>
  <sheetData>
    <row r="1" spans="1:25" x14ac:dyDescent="0.4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</row>
    <row r="2" spans="1:25" x14ac:dyDescent="0.4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</row>
    <row r="3" spans="1:25" x14ac:dyDescent="0.4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</row>
    <row r="4" spans="1:25" x14ac:dyDescent="0.4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</row>
    <row r="5" spans="1:25" x14ac:dyDescent="0.4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</row>
    <row r="6" spans="1:25" x14ac:dyDescent="0.45">
      <c r="A6" s="16"/>
      <c r="B6" s="16"/>
      <c r="C6" s="16"/>
      <c r="D6" s="17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</row>
    <row r="7" spans="1:25" x14ac:dyDescent="0.4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</row>
    <row r="8" spans="1:25" x14ac:dyDescent="0.4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</row>
    <row r="9" spans="1:25" x14ac:dyDescent="0.4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</row>
    <row r="10" spans="1:25" x14ac:dyDescent="0.4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</row>
    <row r="11" spans="1:25" x14ac:dyDescent="0.4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</row>
    <row r="12" spans="1:25" x14ac:dyDescent="0.4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</row>
    <row r="13" spans="1:25" x14ac:dyDescent="0.4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</row>
    <row r="14" spans="1:25" x14ac:dyDescent="0.4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</row>
    <row r="15" spans="1:25" x14ac:dyDescent="0.4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</row>
    <row r="16" spans="1:25" x14ac:dyDescent="0.4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</row>
    <row r="17" spans="1:25" x14ac:dyDescent="0.4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</row>
    <row r="18" spans="1:25" x14ac:dyDescent="0.4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</row>
    <row r="19" spans="1:25" x14ac:dyDescent="0.4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</row>
    <row r="20" spans="1:25" x14ac:dyDescent="0.4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</row>
    <row r="21" spans="1:25" x14ac:dyDescent="0.4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</row>
    <row r="22" spans="1:25" x14ac:dyDescent="0.4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</row>
    <row r="23" spans="1:25" x14ac:dyDescent="0.4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</row>
    <row r="24" spans="1:25" x14ac:dyDescent="0.4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</row>
    <row r="25" spans="1:25" x14ac:dyDescent="0.4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</row>
    <row r="26" spans="1:25" x14ac:dyDescent="0.4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</row>
    <row r="27" spans="1:25" x14ac:dyDescent="0.4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</row>
    <row r="28" spans="1:25" x14ac:dyDescent="0.4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</row>
    <row r="29" spans="1:25" x14ac:dyDescent="0.4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</row>
    <row r="30" spans="1:25" x14ac:dyDescent="0.4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</row>
    <row r="31" spans="1:25" x14ac:dyDescent="0.4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</row>
    <row r="32" spans="1:25" x14ac:dyDescent="0.4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</row>
    <row r="33" spans="1:25" x14ac:dyDescent="0.4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</row>
    <row r="34" spans="1:25" x14ac:dyDescent="0.4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</row>
    <row r="35" spans="1:25" x14ac:dyDescent="0.4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</row>
    <row r="36" spans="1:25" x14ac:dyDescent="0.4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</row>
    <row r="37" spans="1:25" x14ac:dyDescent="0.4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</row>
    <row r="38" spans="1:25" x14ac:dyDescent="0.4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</row>
    <row r="39" spans="1:25" x14ac:dyDescent="0.4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</row>
    <row r="40" spans="1:25" x14ac:dyDescent="0.4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ANA JÚLIA LUCIANO KUCHARSKI</cp:lastModifiedBy>
  <dcterms:created xsi:type="dcterms:W3CDTF">2024-12-19T13:13:10Z</dcterms:created>
  <dcterms:modified xsi:type="dcterms:W3CDTF">2026-02-20T01:53:48Z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